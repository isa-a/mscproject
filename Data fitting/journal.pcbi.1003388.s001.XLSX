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date1904="1"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isa/Downloads/"/>
    </mc:Choice>
  </mc:AlternateContent>
  <xr:revisionPtr revIDLastSave="0" documentId="13_ncr:1_{6B753FD7-6D1E-F74B-8A78-BC57F83DF03E}" xr6:coauthVersionLast="36" xr6:coauthVersionMax="36" xr10:uidLastSave="{00000000-0000-0000-0000-000000000000}"/>
  <bookViews>
    <workbookView xWindow="0" yWindow="0" windowWidth="28800" windowHeight="18000" tabRatio="500" xr2:uid="{00000000-000D-0000-FFFF-FFFF00000000}"/>
  </bookViews>
  <sheets>
    <sheet name="Y" sheetId="1" r:id="rId1"/>
    <sheet name="F" sheetId="2" r:id="rId2"/>
    <sheet name="D_lambda" sheetId="3" r:id="rId3"/>
    <sheet name="MmuE" sheetId="4" r:id="rId4"/>
  </sheets>
  <calcPr calcId="18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V25" i="1" l="1"/>
  <c r="U25" i="1"/>
  <c r="V24" i="1"/>
  <c r="U24" i="1"/>
</calcChain>
</file>

<file path=xl/sharedStrings.xml><?xml version="1.0" encoding="utf-8"?>
<sst xmlns="http://schemas.openxmlformats.org/spreadsheetml/2006/main" count="65" uniqueCount="29">
  <si>
    <t>undefined_genus_of_Enterobacteriaceae</t>
  </si>
  <si>
    <t>Blautia</t>
  </si>
  <si>
    <t>Barnesiella</t>
  </si>
  <si>
    <t>undefined_genus_of_unclassified_Mollicutes</t>
  </si>
  <si>
    <t>undefined_genus_of_Lachnospiraceae</t>
  </si>
  <si>
    <t>Akkermansia</t>
  </si>
  <si>
    <t>Clostridium_difficile</t>
  </si>
  <si>
    <t>unclassified_Lachnospiraceae</t>
  </si>
  <si>
    <t>Coprobacillus</t>
  </si>
  <si>
    <t>Enterococcus</t>
  </si>
  <si>
    <t>ID</t>
  </si>
  <si>
    <t>Clindamycin signal</t>
  </si>
  <si>
    <t>Interactions</t>
  </si>
  <si>
    <t>Growth</t>
  </si>
  <si>
    <t>Susceptibilities</t>
  </si>
  <si>
    <t>Other</t>
  </si>
  <si>
    <r>
      <t xml:space="preserve">Genera </t>
    </r>
    <r>
      <rPr>
        <sz val="12"/>
        <color theme="1"/>
        <rFont val="Calibri"/>
        <family val="2"/>
        <scheme val="minor"/>
      </rPr>
      <t>(sorted by susceptibility)</t>
    </r>
  </si>
  <si>
    <r>
      <t xml:space="preserve">time </t>
    </r>
    <r>
      <rPr>
        <sz val="12"/>
        <color theme="1"/>
        <rFont val="Calibri"/>
        <family val="2"/>
        <scheme val="minor"/>
      </rPr>
      <t>(in d)</t>
    </r>
  </si>
  <si>
    <r>
      <rPr>
        <b/>
        <sz val="12"/>
        <color theme="1"/>
        <rFont val="Calibri"/>
        <family val="2"/>
        <scheme val="minor"/>
      </rPr>
      <t>time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(in d)</t>
    </r>
  </si>
  <si>
    <t>Vector of 1 referring to growth vector</t>
  </si>
  <si>
    <r>
      <rPr>
        <b/>
        <sz val="12"/>
        <color theme="1"/>
        <rFont val="Calibri"/>
        <family val="2"/>
        <scheme val="minor"/>
      </rPr>
      <t>Data matrix Y with processed and estimated density values</t>
    </r>
    <r>
      <rPr>
        <sz val="12"/>
        <color theme="1"/>
        <rFont val="Calibri"/>
        <family val="2"/>
        <scheme val="minor"/>
      </rPr>
      <t xml:space="preserve"> (in 10</t>
    </r>
    <r>
      <rPr>
        <vertAlign val="superscript"/>
        <sz val="12"/>
        <color theme="1"/>
        <rFont val="Calibri"/>
        <scheme val="minor"/>
      </rPr>
      <t>11</t>
    </r>
    <r>
      <rPr>
        <sz val="12"/>
        <color theme="1"/>
        <rFont val="Calibri"/>
        <family val="2"/>
        <scheme val="minor"/>
      </rPr>
      <t xml:space="preserve"> DNA copies per cm</t>
    </r>
    <r>
      <rPr>
        <vertAlign val="superscript"/>
        <sz val="12"/>
        <color theme="1"/>
        <rFont val="Calibri"/>
        <scheme val="minor"/>
      </rPr>
      <t>3</t>
    </r>
    <r>
      <rPr>
        <sz val="12"/>
        <color theme="1"/>
        <rFont val="Calibri"/>
        <family val="2"/>
        <scheme val="minor"/>
      </rPr>
      <t>)</t>
    </r>
    <r>
      <rPr>
        <b/>
        <sz val="12"/>
        <color theme="1"/>
        <rFont val="Calibri"/>
        <family val="2"/>
        <scheme val="minor"/>
      </rPr>
      <t>:</t>
    </r>
  </si>
  <si>
    <r>
      <t>Diagonal matrix D</t>
    </r>
    <r>
      <rPr>
        <b/>
        <vertAlign val="subscript"/>
        <sz val="12"/>
        <color theme="1"/>
        <rFont val="Calibri"/>
        <scheme val="minor"/>
      </rPr>
      <t>λ</t>
    </r>
    <r>
      <rPr>
        <b/>
        <sz val="12"/>
        <color theme="1"/>
        <rFont val="Calibri"/>
        <family val="2"/>
        <scheme val="minor"/>
      </rPr>
      <t xml:space="preserve"> for optimal λ*=(2.25,9,0.25):</t>
    </r>
  </si>
  <si>
    <t>Figure 2:</t>
  </si>
  <si>
    <t>Population</t>
  </si>
  <si>
    <t>Replicate</t>
  </si>
  <si>
    <t>no jit</t>
  </si>
  <si>
    <t>jit</t>
  </si>
  <si>
    <t>gil</t>
  </si>
  <si>
    <t>tau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</si>
</sst>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b/>
      <i/>
      <sz val="12"/>
      <color theme="1"/>
      <name val="Calibri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vertAlign val="superscript"/>
      <sz val="12"/>
      <color theme="1"/>
      <name val="Calibri"/>
      <scheme val="minor"/>
    </font>
    <font>
      <b/>
      <vertAlign val="subscript"/>
      <sz val="12"/>
      <color theme="1"/>
      <name val="Calibri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7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11" fontId="0" fillId="0" borderId="0" xfId="0" applyNumberFormat="1"/>
    <xf numFmtId="0" fontId="1" fillId="0" borderId="0" xfId="0" applyFont="1"/>
    <xf numFmtId="0" fontId="4" fillId="0" borderId="0" xfId="0" applyFont="1"/>
    <xf numFmtId="0" fontId="7" fillId="0" borderId="0" xfId="0" applyFont="1"/>
    <xf numFmtId="11" fontId="7" fillId="0" borderId="0" xfId="0" applyNumberFormat="1" applyFont="1"/>
    <xf numFmtId="0" fontId="1" fillId="0" borderId="0" xfId="0" applyFont="1" applyAlignment="1">
      <alignment textRotation="90"/>
    </xf>
    <xf numFmtId="0" fontId="4" fillId="0" borderId="0" xfId="0" applyFont="1" applyAlignment="1">
      <alignment textRotation="90"/>
    </xf>
    <xf numFmtId="0" fontId="1" fillId="2" borderId="1" xfId="0" applyFont="1" applyFill="1" applyBorder="1"/>
    <xf numFmtId="0" fontId="0" fillId="2" borderId="2" xfId="0" applyFill="1" applyBorder="1"/>
    <xf numFmtId="0" fontId="0" fillId="2" borderId="3" xfId="0" applyFont="1" applyFill="1" applyBorder="1"/>
    <xf numFmtId="0" fontId="0" fillId="2" borderId="4" xfId="0" applyFill="1" applyBorder="1"/>
    <xf numFmtId="0" fontId="4" fillId="2" borderId="1" xfId="0" applyFont="1" applyFill="1" applyBorder="1"/>
    <xf numFmtId="0" fontId="0" fillId="3" borderId="2" xfId="0" applyFill="1" applyBorder="1"/>
    <xf numFmtId="0" fontId="0" fillId="3" borderId="4" xfId="0" applyFill="1" applyBorder="1"/>
    <xf numFmtId="0" fontId="0" fillId="4" borderId="2" xfId="0" applyFill="1" applyBorder="1"/>
    <xf numFmtId="0" fontId="1" fillId="2" borderId="0" xfId="0" applyFont="1" applyFill="1"/>
    <xf numFmtId="0" fontId="7" fillId="2" borderId="0" xfId="0" applyFont="1" applyFill="1"/>
    <xf numFmtId="0" fontId="0" fillId="2" borderId="0" xfId="0" applyFill="1"/>
    <xf numFmtId="0" fontId="0" fillId="5" borderId="0" xfId="0" applyFill="1"/>
    <xf numFmtId="0" fontId="4" fillId="5" borderId="0" xfId="0" applyFont="1" applyFill="1"/>
    <xf numFmtId="0" fontId="7" fillId="5" borderId="0" xfId="0" applyFont="1" applyFill="1"/>
    <xf numFmtId="0" fontId="7" fillId="3" borderId="0" xfId="0" applyFont="1" applyFill="1"/>
    <xf numFmtId="0" fontId="1" fillId="2" borderId="0" xfId="0" applyFont="1" applyFill="1" applyAlignment="1">
      <alignment textRotation="90"/>
    </xf>
    <xf numFmtId="0" fontId="7" fillId="6" borderId="0" xfId="0" applyFont="1" applyFill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1" fontId="0" fillId="2" borderId="0" xfId="0" applyNumberFormat="1" applyFill="1"/>
    <xf numFmtId="0" fontId="0" fillId="3" borderId="0" xfId="0" applyFill="1"/>
    <xf numFmtId="11" fontId="0" fillId="3" borderId="0" xfId="0" applyNumberFormat="1" applyFill="1"/>
  </cellXfs>
  <cellStyles count="7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25"/>
  <sheetViews>
    <sheetView tabSelected="1" topLeftCell="N2" zoomScaleNormal="100" workbookViewId="0">
      <selection activeCell="V26" sqref="V26"/>
    </sheetView>
  </sheetViews>
  <sheetFormatPr baseColWidth="10" defaultRowHeight="16"/>
  <cols>
    <col min="1" max="1" width="74.83203125" bestFit="1" customWidth="1"/>
    <col min="18" max="18" width="10.83203125" style="18"/>
  </cols>
  <sheetData>
    <row r="1" spans="1:78">
      <c r="A1" t="s">
        <v>23</v>
      </c>
      <c r="B1">
        <v>2</v>
      </c>
      <c r="C1">
        <v>2</v>
      </c>
      <c r="D1">
        <v>2</v>
      </c>
      <c r="E1">
        <v>2</v>
      </c>
      <c r="F1">
        <v>2</v>
      </c>
      <c r="G1">
        <v>2</v>
      </c>
      <c r="H1">
        <v>2</v>
      </c>
      <c r="I1">
        <v>2</v>
      </c>
      <c r="J1">
        <v>2</v>
      </c>
      <c r="K1">
        <v>2</v>
      </c>
      <c r="L1">
        <v>2</v>
      </c>
      <c r="M1">
        <v>1</v>
      </c>
      <c r="N1">
        <v>1</v>
      </c>
      <c r="O1">
        <v>1</v>
      </c>
      <c r="P1">
        <v>1</v>
      </c>
      <c r="Q1">
        <v>3</v>
      </c>
      <c r="R1" s="18">
        <v>3</v>
      </c>
      <c r="S1">
        <v>3</v>
      </c>
      <c r="T1">
        <v>3</v>
      </c>
      <c r="U1">
        <v>3</v>
      </c>
      <c r="V1">
        <v>3</v>
      </c>
      <c r="W1">
        <v>3</v>
      </c>
      <c r="X1">
        <v>3</v>
      </c>
      <c r="Y1">
        <v>3</v>
      </c>
      <c r="Z1">
        <v>3</v>
      </c>
      <c r="AA1">
        <v>2</v>
      </c>
      <c r="AB1">
        <v>2</v>
      </c>
      <c r="AC1">
        <v>2</v>
      </c>
      <c r="AD1">
        <v>2</v>
      </c>
      <c r="AE1">
        <v>2</v>
      </c>
      <c r="AF1">
        <v>2</v>
      </c>
      <c r="AG1">
        <v>2</v>
      </c>
      <c r="AH1">
        <v>2</v>
      </c>
      <c r="AI1">
        <v>2</v>
      </c>
      <c r="AJ1">
        <v>2</v>
      </c>
      <c r="AK1">
        <v>2</v>
      </c>
      <c r="AL1">
        <v>1</v>
      </c>
      <c r="AM1">
        <v>1</v>
      </c>
      <c r="AN1">
        <v>1</v>
      </c>
      <c r="AO1">
        <v>1</v>
      </c>
      <c r="AP1">
        <v>3</v>
      </c>
      <c r="AQ1">
        <v>3</v>
      </c>
      <c r="AR1">
        <v>3</v>
      </c>
      <c r="AS1">
        <v>3</v>
      </c>
      <c r="AT1">
        <v>3</v>
      </c>
      <c r="AU1">
        <v>3</v>
      </c>
      <c r="AV1">
        <v>3</v>
      </c>
      <c r="AW1">
        <v>3</v>
      </c>
      <c r="AX1">
        <v>3</v>
      </c>
      <c r="AY1">
        <v>3</v>
      </c>
      <c r="AZ1">
        <v>3</v>
      </c>
      <c r="BA1">
        <v>2</v>
      </c>
      <c r="BB1">
        <v>2</v>
      </c>
      <c r="BC1">
        <v>2</v>
      </c>
      <c r="BD1">
        <v>2</v>
      </c>
      <c r="BE1">
        <v>2</v>
      </c>
      <c r="BF1">
        <v>2</v>
      </c>
      <c r="BG1">
        <v>2</v>
      </c>
      <c r="BH1">
        <v>2</v>
      </c>
      <c r="BI1">
        <v>2</v>
      </c>
      <c r="BJ1">
        <v>2</v>
      </c>
      <c r="BK1">
        <v>2</v>
      </c>
      <c r="BL1">
        <v>1</v>
      </c>
      <c r="BM1">
        <v>1</v>
      </c>
      <c r="BN1">
        <v>1</v>
      </c>
      <c r="BO1">
        <v>1</v>
      </c>
      <c r="BP1">
        <v>3</v>
      </c>
      <c r="BQ1">
        <v>3</v>
      </c>
      <c r="BR1">
        <v>3</v>
      </c>
      <c r="BS1">
        <v>3</v>
      </c>
      <c r="BT1">
        <v>3</v>
      </c>
      <c r="BU1">
        <v>3</v>
      </c>
      <c r="BV1">
        <v>3</v>
      </c>
      <c r="BW1">
        <v>3</v>
      </c>
      <c r="BX1">
        <v>3</v>
      </c>
      <c r="BY1">
        <v>3</v>
      </c>
      <c r="BZ1">
        <v>3</v>
      </c>
    </row>
    <row r="2" spans="1:78">
      <c r="A2" t="s">
        <v>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 s="18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2</v>
      </c>
      <c r="AB2">
        <v>2</v>
      </c>
      <c r="AC2">
        <v>2</v>
      </c>
      <c r="AD2">
        <v>2</v>
      </c>
      <c r="AE2">
        <v>2</v>
      </c>
      <c r="AF2">
        <v>2</v>
      </c>
      <c r="AG2">
        <v>2</v>
      </c>
      <c r="AH2">
        <v>2</v>
      </c>
      <c r="AI2">
        <v>2</v>
      </c>
      <c r="AJ2">
        <v>2</v>
      </c>
      <c r="AK2">
        <v>2</v>
      </c>
      <c r="AL2">
        <v>2</v>
      </c>
      <c r="AM2">
        <v>2</v>
      </c>
      <c r="AN2">
        <v>2</v>
      </c>
      <c r="AO2">
        <v>2</v>
      </c>
      <c r="AP2">
        <v>2</v>
      </c>
      <c r="AQ2">
        <v>2</v>
      </c>
      <c r="AR2">
        <v>2</v>
      </c>
      <c r="AS2">
        <v>2</v>
      </c>
      <c r="AT2">
        <v>2</v>
      </c>
      <c r="AU2">
        <v>2</v>
      </c>
      <c r="AV2">
        <v>2</v>
      </c>
      <c r="AW2">
        <v>2</v>
      </c>
      <c r="AX2">
        <v>2</v>
      </c>
      <c r="AY2">
        <v>2</v>
      </c>
      <c r="AZ2">
        <v>2</v>
      </c>
      <c r="BA2">
        <v>3</v>
      </c>
      <c r="BB2">
        <v>3</v>
      </c>
      <c r="BC2">
        <v>3</v>
      </c>
      <c r="BD2">
        <v>3</v>
      </c>
      <c r="BE2">
        <v>3</v>
      </c>
      <c r="BF2">
        <v>3</v>
      </c>
      <c r="BG2">
        <v>3</v>
      </c>
      <c r="BH2">
        <v>3</v>
      </c>
      <c r="BI2">
        <v>3</v>
      </c>
      <c r="BJ2">
        <v>3</v>
      </c>
      <c r="BK2">
        <v>3</v>
      </c>
      <c r="BL2">
        <v>3</v>
      </c>
      <c r="BM2">
        <v>3</v>
      </c>
      <c r="BN2">
        <v>3</v>
      </c>
      <c r="BO2">
        <v>3</v>
      </c>
      <c r="BP2">
        <v>3</v>
      </c>
      <c r="BQ2">
        <v>3</v>
      </c>
      <c r="BR2">
        <v>3</v>
      </c>
      <c r="BS2">
        <v>3</v>
      </c>
      <c r="BT2">
        <v>3</v>
      </c>
      <c r="BU2">
        <v>3</v>
      </c>
      <c r="BV2">
        <v>3</v>
      </c>
      <c r="BW2">
        <v>3</v>
      </c>
      <c r="BX2">
        <v>3</v>
      </c>
      <c r="BY2">
        <v>3</v>
      </c>
      <c r="BZ2">
        <v>3</v>
      </c>
    </row>
    <row r="3" spans="1:78">
      <c r="A3" s="3" t="s">
        <v>10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2</v>
      </c>
      <c r="N3">
        <v>2</v>
      </c>
      <c r="O3">
        <v>2</v>
      </c>
      <c r="P3">
        <v>2</v>
      </c>
      <c r="Q3">
        <v>3</v>
      </c>
      <c r="R3" s="18">
        <v>3</v>
      </c>
      <c r="S3">
        <v>3</v>
      </c>
      <c r="T3">
        <v>3</v>
      </c>
      <c r="U3">
        <v>3</v>
      </c>
      <c r="V3">
        <v>3</v>
      </c>
      <c r="W3">
        <v>3</v>
      </c>
      <c r="X3">
        <v>3</v>
      </c>
      <c r="Y3">
        <v>3</v>
      </c>
      <c r="Z3">
        <v>3</v>
      </c>
      <c r="AA3">
        <v>4</v>
      </c>
      <c r="AB3">
        <v>4</v>
      </c>
      <c r="AC3">
        <v>4</v>
      </c>
      <c r="AD3">
        <v>4</v>
      </c>
      <c r="AE3">
        <v>4</v>
      </c>
      <c r="AF3">
        <v>4</v>
      </c>
      <c r="AG3">
        <v>4</v>
      </c>
      <c r="AH3">
        <v>4</v>
      </c>
      <c r="AI3">
        <v>4</v>
      </c>
      <c r="AJ3">
        <v>4</v>
      </c>
      <c r="AK3">
        <v>4</v>
      </c>
      <c r="AL3">
        <v>5</v>
      </c>
      <c r="AM3">
        <v>5</v>
      </c>
      <c r="AN3">
        <v>5</v>
      </c>
      <c r="AO3">
        <v>5</v>
      </c>
      <c r="AP3">
        <v>6</v>
      </c>
      <c r="AQ3">
        <v>6</v>
      </c>
      <c r="AR3">
        <v>6</v>
      </c>
      <c r="AS3">
        <v>6</v>
      </c>
      <c r="AT3">
        <v>6</v>
      </c>
      <c r="AU3">
        <v>6</v>
      </c>
      <c r="AV3">
        <v>6</v>
      </c>
      <c r="AW3">
        <v>6</v>
      </c>
      <c r="AX3">
        <v>6</v>
      </c>
      <c r="AY3">
        <v>6</v>
      </c>
      <c r="AZ3">
        <v>6</v>
      </c>
      <c r="BA3">
        <v>7</v>
      </c>
      <c r="BB3">
        <v>7</v>
      </c>
      <c r="BC3">
        <v>7</v>
      </c>
      <c r="BD3">
        <v>7</v>
      </c>
      <c r="BE3">
        <v>7</v>
      </c>
      <c r="BF3">
        <v>7</v>
      </c>
      <c r="BG3">
        <v>7</v>
      </c>
      <c r="BH3">
        <v>7</v>
      </c>
      <c r="BI3">
        <v>7</v>
      </c>
      <c r="BJ3">
        <v>7</v>
      </c>
      <c r="BK3">
        <v>7</v>
      </c>
      <c r="BL3">
        <v>8</v>
      </c>
      <c r="BM3">
        <v>8</v>
      </c>
      <c r="BN3">
        <v>8</v>
      </c>
      <c r="BO3">
        <v>8</v>
      </c>
      <c r="BP3">
        <v>9</v>
      </c>
      <c r="BQ3">
        <v>9</v>
      </c>
      <c r="BR3">
        <v>9</v>
      </c>
      <c r="BS3">
        <v>9</v>
      </c>
      <c r="BT3">
        <v>9</v>
      </c>
      <c r="BU3">
        <v>9</v>
      </c>
      <c r="BV3">
        <v>9</v>
      </c>
      <c r="BW3">
        <v>9</v>
      </c>
      <c r="BX3">
        <v>9</v>
      </c>
      <c r="BY3">
        <v>9</v>
      </c>
      <c r="BZ3">
        <v>9</v>
      </c>
    </row>
    <row r="4" spans="1:78">
      <c r="A4" s="3" t="s">
        <v>17</v>
      </c>
      <c r="B4">
        <v>0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9</v>
      </c>
      <c r="J4">
        <v>12</v>
      </c>
      <c r="K4">
        <v>16</v>
      </c>
      <c r="L4">
        <v>23</v>
      </c>
      <c r="M4">
        <v>0</v>
      </c>
      <c r="N4">
        <v>2</v>
      </c>
      <c r="O4">
        <v>6</v>
      </c>
      <c r="P4">
        <v>13</v>
      </c>
      <c r="Q4">
        <v>0</v>
      </c>
      <c r="R4" s="18">
        <v>2</v>
      </c>
      <c r="S4">
        <v>3</v>
      </c>
      <c r="T4">
        <v>4</v>
      </c>
      <c r="U4">
        <v>5</v>
      </c>
      <c r="V4">
        <v>6</v>
      </c>
      <c r="W4">
        <v>7</v>
      </c>
      <c r="X4">
        <v>12</v>
      </c>
      <c r="Y4">
        <v>16</v>
      </c>
      <c r="Z4">
        <v>23</v>
      </c>
      <c r="AA4">
        <v>0</v>
      </c>
      <c r="AB4">
        <v>2</v>
      </c>
      <c r="AC4">
        <v>3</v>
      </c>
      <c r="AD4">
        <v>4</v>
      </c>
      <c r="AE4">
        <v>5</v>
      </c>
      <c r="AF4">
        <v>6</v>
      </c>
      <c r="AG4">
        <v>7</v>
      </c>
      <c r="AH4">
        <v>9</v>
      </c>
      <c r="AI4">
        <v>12</v>
      </c>
      <c r="AJ4">
        <v>16</v>
      </c>
      <c r="AK4">
        <v>23</v>
      </c>
      <c r="AL4">
        <v>0</v>
      </c>
      <c r="AM4">
        <v>2</v>
      </c>
      <c r="AN4">
        <v>6</v>
      </c>
      <c r="AO4">
        <v>13</v>
      </c>
      <c r="AP4">
        <v>0</v>
      </c>
      <c r="AQ4">
        <v>2</v>
      </c>
      <c r="AR4">
        <v>3</v>
      </c>
      <c r="AS4">
        <v>4</v>
      </c>
      <c r="AT4">
        <v>5</v>
      </c>
      <c r="AU4">
        <v>6</v>
      </c>
      <c r="AV4">
        <v>7</v>
      </c>
      <c r="AW4">
        <v>9</v>
      </c>
      <c r="AX4">
        <v>12</v>
      </c>
      <c r="AY4">
        <v>16</v>
      </c>
      <c r="AZ4">
        <v>23</v>
      </c>
      <c r="BA4">
        <v>0</v>
      </c>
      <c r="BB4">
        <v>2</v>
      </c>
      <c r="BC4">
        <v>3</v>
      </c>
      <c r="BD4">
        <v>4</v>
      </c>
      <c r="BE4">
        <v>5</v>
      </c>
      <c r="BF4">
        <v>6</v>
      </c>
      <c r="BG4">
        <v>7</v>
      </c>
      <c r="BH4">
        <v>9</v>
      </c>
      <c r="BI4">
        <v>12</v>
      </c>
      <c r="BJ4">
        <v>16</v>
      </c>
      <c r="BK4">
        <v>23</v>
      </c>
      <c r="BL4">
        <v>0</v>
      </c>
      <c r="BM4">
        <v>2</v>
      </c>
      <c r="BN4">
        <v>6</v>
      </c>
      <c r="BO4">
        <v>13</v>
      </c>
      <c r="BP4">
        <v>0</v>
      </c>
      <c r="BQ4">
        <v>2</v>
      </c>
      <c r="BR4">
        <v>3</v>
      </c>
      <c r="BS4">
        <v>4</v>
      </c>
      <c r="BT4">
        <v>5</v>
      </c>
      <c r="BU4">
        <v>6</v>
      </c>
      <c r="BV4">
        <v>7</v>
      </c>
      <c r="BW4">
        <v>9</v>
      </c>
      <c r="BX4">
        <v>12</v>
      </c>
      <c r="BY4">
        <v>16</v>
      </c>
      <c r="BZ4">
        <v>23</v>
      </c>
    </row>
    <row r="5" spans="1:78" ht="19">
      <c r="A5" t="s">
        <v>20</v>
      </c>
    </row>
    <row r="6" spans="1:78">
      <c r="A6" s="3" t="s">
        <v>0</v>
      </c>
      <c r="B6" s="1">
        <v>2.3506000000000002E-5</v>
      </c>
      <c r="C6">
        <v>0.86914000000000002</v>
      </c>
      <c r="D6">
        <v>0.41500999999999999</v>
      </c>
      <c r="E6">
        <v>5.0998000000000001</v>
      </c>
      <c r="F6">
        <v>0.42915999999999999</v>
      </c>
      <c r="G6">
        <v>0.24018</v>
      </c>
      <c r="H6">
        <v>0.14224999999999999</v>
      </c>
      <c r="I6">
        <v>0.46901999999999999</v>
      </c>
      <c r="J6">
        <v>0.58179000000000003</v>
      </c>
      <c r="K6">
        <v>3.2515E-3</v>
      </c>
      <c r="L6">
        <v>1.5072E-2</v>
      </c>
      <c r="M6">
        <v>0</v>
      </c>
      <c r="N6">
        <v>0</v>
      </c>
      <c r="O6">
        <v>0</v>
      </c>
      <c r="P6">
        <v>0</v>
      </c>
      <c r="Q6" s="1">
        <v>1.9582999999999999E-5</v>
      </c>
      <c r="R6" s="18">
        <v>4.6612999999999998</v>
      </c>
      <c r="S6">
        <v>4.8785999999999996</v>
      </c>
      <c r="T6">
        <v>5.9978999999999998E-2</v>
      </c>
      <c r="U6">
        <v>0.14474999999999999</v>
      </c>
      <c r="V6">
        <v>0.26443</v>
      </c>
      <c r="W6">
        <v>0.56521999999999994</v>
      </c>
      <c r="X6">
        <v>2.6248999999999998</v>
      </c>
      <c r="Y6">
        <v>4.3223000000000003</v>
      </c>
      <c r="Z6">
        <v>3.0436000000000001</v>
      </c>
      <c r="AA6" s="1">
        <v>4.5945999999999997E-5</v>
      </c>
      <c r="AB6">
        <v>0.67225999999999997</v>
      </c>
      <c r="AC6">
        <v>0.49195</v>
      </c>
      <c r="AD6">
        <v>0.20399999999999999</v>
      </c>
      <c r="AE6">
        <v>0.50941999999999998</v>
      </c>
      <c r="AF6">
        <v>1.8577E-2</v>
      </c>
      <c r="AG6">
        <v>0.29588999999999999</v>
      </c>
      <c r="AH6">
        <v>0.44603999999999999</v>
      </c>
      <c r="AI6">
        <v>0.44034000000000001</v>
      </c>
      <c r="AJ6">
        <v>7.0052000000000003E-2</v>
      </c>
      <c r="AK6">
        <v>3.5308000000000002E-3</v>
      </c>
      <c r="AL6">
        <v>1.155E-3</v>
      </c>
      <c r="AM6">
        <v>1.1137E-3</v>
      </c>
      <c r="AN6">
        <v>8.6908000000000005E-4</v>
      </c>
      <c r="AO6">
        <v>1.6393E-3</v>
      </c>
      <c r="AP6">
        <v>0.23325000000000001</v>
      </c>
      <c r="AQ6">
        <v>0.93394999999999995</v>
      </c>
      <c r="AR6">
        <v>2.3976000000000002</v>
      </c>
      <c r="AS6">
        <v>0.47160000000000002</v>
      </c>
      <c r="AT6">
        <v>0.27616000000000002</v>
      </c>
      <c r="AU6">
        <v>4.9931999999999999</v>
      </c>
      <c r="AV6">
        <v>1.385</v>
      </c>
      <c r="AW6">
        <v>1.6103000000000001</v>
      </c>
      <c r="AX6">
        <v>3.9838</v>
      </c>
      <c r="AY6">
        <v>1.8540000000000001</v>
      </c>
      <c r="AZ6">
        <v>4.8841999999999999</v>
      </c>
      <c r="BA6">
        <v>2.9315000000000001E-3</v>
      </c>
      <c r="BB6">
        <v>1.0751999999999999</v>
      </c>
      <c r="BC6">
        <v>0.39082</v>
      </c>
      <c r="BD6">
        <v>0.23832999999999999</v>
      </c>
      <c r="BE6">
        <v>6.4127000000000003E-2</v>
      </c>
      <c r="BF6">
        <v>7.0682999999999996E-2</v>
      </c>
      <c r="BG6">
        <v>0.25991999999999998</v>
      </c>
      <c r="BH6">
        <v>0.66457999999999995</v>
      </c>
      <c r="BI6">
        <v>0.59887000000000001</v>
      </c>
      <c r="BJ6">
        <v>2.0215E-2</v>
      </c>
      <c r="BK6">
        <v>2.9696E-2</v>
      </c>
      <c r="BL6">
        <v>0</v>
      </c>
      <c r="BM6">
        <v>0</v>
      </c>
      <c r="BN6">
        <v>0</v>
      </c>
      <c r="BO6">
        <v>0</v>
      </c>
      <c r="BP6">
        <v>2.6709999999999999E-4</v>
      </c>
      <c r="BQ6">
        <v>0.74502999999999997</v>
      </c>
      <c r="BR6">
        <v>2.9584000000000001</v>
      </c>
      <c r="BS6">
        <v>3.8303999999999998E-2</v>
      </c>
      <c r="BT6">
        <v>2.2065999999999999E-2</v>
      </c>
      <c r="BU6">
        <v>2.0510999999999999</v>
      </c>
      <c r="BV6">
        <v>2.0297000000000001</v>
      </c>
      <c r="BW6">
        <v>2.7389000000000001</v>
      </c>
      <c r="BX6">
        <v>6.181</v>
      </c>
      <c r="BY6">
        <v>2.0598999999999998</v>
      </c>
      <c r="BZ6">
        <v>2.1318000000000001</v>
      </c>
    </row>
    <row r="7" spans="1:78">
      <c r="A7" s="2" t="s">
        <v>1</v>
      </c>
      <c r="B7">
        <v>8.6677E-4</v>
      </c>
      <c r="C7" s="1">
        <v>4.0114999999999998E-5</v>
      </c>
      <c r="D7">
        <v>7.2401000000000002E-3</v>
      </c>
      <c r="E7">
        <v>4.7352000000000002E-3</v>
      </c>
      <c r="F7">
        <v>2.3946999999999998</v>
      </c>
      <c r="G7">
        <v>2.6006</v>
      </c>
      <c r="H7">
        <v>0.11887</v>
      </c>
      <c r="I7">
        <v>0.10996</v>
      </c>
      <c r="J7">
        <v>0.16450000000000001</v>
      </c>
      <c r="K7">
        <v>4.6870000000000002E-3</v>
      </c>
      <c r="L7">
        <v>1.6507000000000001E-2</v>
      </c>
      <c r="M7">
        <v>6.5623000000000001E-3</v>
      </c>
      <c r="N7">
        <v>1.1831E-2</v>
      </c>
      <c r="O7">
        <v>1.1938000000000001E-2</v>
      </c>
      <c r="P7">
        <v>7.3350000000000004E-3</v>
      </c>
      <c r="Q7" s="1">
        <v>5.8749999999999998E-5</v>
      </c>
      <c r="R7" s="18">
        <v>7.9905000000000004E-4</v>
      </c>
      <c r="S7">
        <v>1.3558999999999999E-3</v>
      </c>
      <c r="T7">
        <v>3.1670999999999999E-4</v>
      </c>
      <c r="U7">
        <v>5.3816999999999997E-3</v>
      </c>
      <c r="V7">
        <v>1.8012E-2</v>
      </c>
      <c r="W7">
        <v>4.4209999999999999E-2</v>
      </c>
      <c r="X7">
        <v>0.31985999999999998</v>
      </c>
      <c r="Y7">
        <v>3.5920999999999998</v>
      </c>
      <c r="Z7">
        <v>2.0310999999999999</v>
      </c>
      <c r="AA7">
        <v>4.5140000000000002E-4</v>
      </c>
      <c r="AB7" s="1">
        <v>5.804E-5</v>
      </c>
      <c r="AC7">
        <v>1.3808E-3</v>
      </c>
      <c r="AD7">
        <v>1.0803</v>
      </c>
      <c r="AE7">
        <v>1.1454</v>
      </c>
      <c r="AF7">
        <v>1.2151000000000001</v>
      </c>
      <c r="AG7">
        <v>0.13789000000000001</v>
      </c>
      <c r="AH7">
        <v>0.10544000000000001</v>
      </c>
      <c r="AI7">
        <v>0.3256</v>
      </c>
      <c r="AJ7">
        <v>0.21501000000000001</v>
      </c>
      <c r="AK7">
        <v>5.8108999999999999E-3</v>
      </c>
      <c r="AL7">
        <v>9.7316999999999994E-3</v>
      </c>
      <c r="AM7">
        <v>8.0430999999999992E-3</v>
      </c>
      <c r="AN7">
        <v>1.0460000000000001E-2</v>
      </c>
      <c r="AO7">
        <v>4.2623000000000001E-2</v>
      </c>
      <c r="AP7">
        <v>0.48315999999999998</v>
      </c>
      <c r="AQ7">
        <v>1.5004999999999999E-2</v>
      </c>
      <c r="AR7">
        <v>4.4014999999999999E-4</v>
      </c>
      <c r="AS7">
        <v>1.1228999999999999E-2</v>
      </c>
      <c r="AT7">
        <v>9.0036999999999999E-3</v>
      </c>
      <c r="AU7">
        <v>0.21532000000000001</v>
      </c>
      <c r="AV7">
        <v>0.10972</v>
      </c>
      <c r="AW7">
        <v>0.35874</v>
      </c>
      <c r="AX7">
        <v>2.4779</v>
      </c>
      <c r="AY7">
        <v>2.2343999999999999</v>
      </c>
      <c r="AZ7">
        <v>2.8296000000000001</v>
      </c>
      <c r="BA7">
        <v>1.9451000000000001E-4</v>
      </c>
      <c r="BB7">
        <v>2.2285E-4</v>
      </c>
      <c r="BC7" s="1">
        <v>8.5793999999999999E-5</v>
      </c>
      <c r="BD7">
        <v>0.21043999999999999</v>
      </c>
      <c r="BE7">
        <v>0.46772000000000002</v>
      </c>
      <c r="BF7">
        <v>1.4298</v>
      </c>
      <c r="BG7">
        <v>0.13822000000000001</v>
      </c>
      <c r="BH7">
        <v>0.14549000000000001</v>
      </c>
      <c r="BI7">
        <v>0.40118999999999999</v>
      </c>
      <c r="BJ7">
        <v>7.0940000000000003E-2</v>
      </c>
      <c r="BK7">
        <v>3.6517000000000001E-2</v>
      </c>
      <c r="BL7">
        <v>8.5261E-3</v>
      </c>
      <c r="BM7">
        <v>1.4388E-2</v>
      </c>
      <c r="BN7">
        <v>1.6309000000000001E-2</v>
      </c>
      <c r="BO7">
        <v>4.3973999999999999E-2</v>
      </c>
      <c r="BP7">
        <v>4.5456999999999997E-3</v>
      </c>
      <c r="BQ7" s="1">
        <v>3.7975999999999997E-5</v>
      </c>
      <c r="BR7">
        <v>1.1671999999999999E-4</v>
      </c>
      <c r="BS7">
        <v>3.3082000000000001E-4</v>
      </c>
      <c r="BT7">
        <v>8.1842999999999998E-4</v>
      </c>
      <c r="BU7">
        <v>6.5322000000000005E-2</v>
      </c>
      <c r="BV7">
        <v>4.2800999999999999E-2</v>
      </c>
      <c r="BW7">
        <v>4.5324999999999997E-2</v>
      </c>
      <c r="BX7">
        <v>1.2856000000000001</v>
      </c>
      <c r="BY7">
        <v>0.65425999999999995</v>
      </c>
      <c r="BZ7">
        <v>1.6649</v>
      </c>
    </row>
    <row r="8" spans="1:78">
      <c r="A8" s="2" t="s">
        <v>2</v>
      </c>
      <c r="B8">
        <v>9.2744999999999994E-2</v>
      </c>
      <c r="C8">
        <v>1.6788999999999999E-4</v>
      </c>
      <c r="D8">
        <v>1.2887E-4</v>
      </c>
      <c r="E8">
        <v>2.3598999999999998E-3</v>
      </c>
      <c r="F8">
        <v>8.5548999999999998E-4</v>
      </c>
      <c r="G8">
        <v>6.8793999999999995E-4</v>
      </c>
      <c r="H8">
        <v>1.0692999999999999E-4</v>
      </c>
      <c r="I8">
        <v>1.2018E-4</v>
      </c>
      <c r="J8">
        <v>1.8803E-4</v>
      </c>
      <c r="K8" s="1">
        <v>7.0144000000000001E-6</v>
      </c>
      <c r="L8" s="1">
        <v>1.6257999999999999E-5</v>
      </c>
      <c r="M8">
        <v>1.7504</v>
      </c>
      <c r="N8">
        <v>1.9061999999999999</v>
      </c>
      <c r="O8">
        <v>1.8324</v>
      </c>
      <c r="P8">
        <v>1.5969</v>
      </c>
      <c r="Q8">
        <v>9.7622000000000004E-3</v>
      </c>
      <c r="R8" s="18">
        <v>1.0183E-3</v>
      </c>
      <c r="S8">
        <v>1.2080000000000001E-3</v>
      </c>
      <c r="T8" s="1">
        <v>2.1704000000000001E-5</v>
      </c>
      <c r="U8" s="1">
        <v>4.1332999999999999E-5</v>
      </c>
      <c r="V8">
        <v>1.7071E-4</v>
      </c>
      <c r="W8">
        <v>1.8845999999999999E-4</v>
      </c>
      <c r="X8">
        <v>9.1923000000000005E-4</v>
      </c>
      <c r="Y8">
        <v>2.6338999999999998E-3</v>
      </c>
      <c r="Z8">
        <v>2.7006999999999999E-3</v>
      </c>
      <c r="AA8">
        <v>6.7426E-2</v>
      </c>
      <c r="AB8">
        <v>2.2153E-4</v>
      </c>
      <c r="AC8">
        <v>1.8330000000000001E-4</v>
      </c>
      <c r="AD8">
        <v>6.5826000000000003E-4</v>
      </c>
      <c r="AE8">
        <v>1.5076E-3</v>
      </c>
      <c r="AF8">
        <v>6.3935000000000001E-4</v>
      </c>
      <c r="AG8">
        <v>2.0535E-4</v>
      </c>
      <c r="AH8">
        <v>2.3497000000000001E-4</v>
      </c>
      <c r="AI8">
        <v>4.4429000000000002E-4</v>
      </c>
      <c r="AJ8">
        <v>1.8814E-4</v>
      </c>
      <c r="AK8" s="1">
        <v>2.2784000000000001E-5</v>
      </c>
      <c r="AL8">
        <v>2.7665000000000002</v>
      </c>
      <c r="AM8">
        <v>2.0482999999999998</v>
      </c>
      <c r="AN8">
        <v>1.7458</v>
      </c>
      <c r="AO8">
        <v>2.0918000000000001</v>
      </c>
      <c r="AP8">
        <v>1.7757000000000001</v>
      </c>
      <c r="AQ8">
        <v>2.5871999999999999E-4</v>
      </c>
      <c r="AR8">
        <v>4.1343E-4</v>
      </c>
      <c r="AS8" s="1">
        <v>9.6445000000000002E-5</v>
      </c>
      <c r="AT8" s="1">
        <v>4.6254999999999997E-5</v>
      </c>
      <c r="AU8">
        <v>1.0204000000000001E-3</v>
      </c>
      <c r="AV8">
        <v>2.8451000000000003E-4</v>
      </c>
      <c r="AW8">
        <v>3.1705999999999998E-4</v>
      </c>
      <c r="AX8">
        <v>1.4679000000000001E-3</v>
      </c>
      <c r="AY8">
        <v>7.1871000000000001E-4</v>
      </c>
      <c r="AZ8">
        <v>1.0268E-3</v>
      </c>
      <c r="BA8">
        <v>0.23635999999999999</v>
      </c>
      <c r="BB8">
        <v>4.1983E-4</v>
      </c>
      <c r="BC8">
        <v>1.2594E-4</v>
      </c>
      <c r="BD8">
        <v>1.9756000000000001E-3</v>
      </c>
      <c r="BE8">
        <v>5.4310999999999997E-4</v>
      </c>
      <c r="BF8">
        <v>1.1473E-3</v>
      </c>
      <c r="BG8">
        <v>2.9914999999999998E-4</v>
      </c>
      <c r="BH8">
        <v>2.6059999999999999E-4</v>
      </c>
      <c r="BI8">
        <v>5.0336000000000001E-4</v>
      </c>
      <c r="BJ8" s="1">
        <v>7.2254000000000003E-5</v>
      </c>
      <c r="BK8" s="1">
        <v>6.4813000000000004E-5</v>
      </c>
      <c r="BL8">
        <v>2.5396000000000001</v>
      </c>
      <c r="BM8">
        <v>5.1403999999999996</v>
      </c>
      <c r="BN8">
        <v>2.4626000000000001</v>
      </c>
      <c r="BO8">
        <v>1.6281000000000001</v>
      </c>
      <c r="BP8">
        <v>1.397</v>
      </c>
      <c r="BQ8">
        <v>1.3787000000000001E-4</v>
      </c>
      <c r="BR8">
        <v>4.2473000000000001E-4</v>
      </c>
      <c r="BS8" s="1">
        <v>1.4225E-5</v>
      </c>
      <c r="BT8" s="1">
        <v>1.8949000000000001E-5</v>
      </c>
      <c r="BU8">
        <v>7.1496999999999999E-4</v>
      </c>
      <c r="BV8">
        <v>9.9094000000000005E-4</v>
      </c>
      <c r="BW8">
        <v>4.3309000000000002E-4</v>
      </c>
      <c r="BX8">
        <v>1.5478E-3</v>
      </c>
      <c r="BY8">
        <v>9.7490999999999995E-4</v>
      </c>
      <c r="BZ8">
        <v>1.9386E-3</v>
      </c>
    </row>
    <row r="9" spans="1:78">
      <c r="A9" s="3" t="s">
        <v>3</v>
      </c>
      <c r="B9">
        <v>1.4446000000000001E-3</v>
      </c>
      <c r="C9">
        <v>3.3688000000000001E-4</v>
      </c>
      <c r="D9">
        <v>5.1716000000000002E-4</v>
      </c>
      <c r="E9">
        <v>4.5446000000000002E-3</v>
      </c>
      <c r="F9">
        <v>1.6475000000000001E-3</v>
      </c>
      <c r="G9">
        <v>1.3247999999999999E-3</v>
      </c>
      <c r="H9">
        <v>2.2957000000000002E-2</v>
      </c>
      <c r="I9">
        <v>0.11623</v>
      </c>
      <c r="J9">
        <v>0.22486999999999999</v>
      </c>
      <c r="K9">
        <v>1.9141999999999999E-2</v>
      </c>
      <c r="L9">
        <v>4.4009E-2</v>
      </c>
      <c r="M9">
        <v>1.1483E-2</v>
      </c>
      <c r="N9">
        <v>7.8875000000000004E-3</v>
      </c>
      <c r="O9">
        <v>0.25517000000000001</v>
      </c>
      <c r="P9">
        <v>1.0479E-3</v>
      </c>
      <c r="Q9">
        <v>1.7625E-4</v>
      </c>
      <c r="R9" s="18">
        <v>1.0965E-3</v>
      </c>
      <c r="S9">
        <v>1.3006999999999999E-3</v>
      </c>
      <c r="T9" s="1">
        <v>4.8724000000000003E-5</v>
      </c>
      <c r="U9">
        <v>1.8558E-4</v>
      </c>
      <c r="V9">
        <v>3.4491000000000001E-3</v>
      </c>
      <c r="W9">
        <v>2.0291999999999999E-4</v>
      </c>
      <c r="X9">
        <v>0.55096999999999996</v>
      </c>
      <c r="Y9">
        <v>1.1767000000000001</v>
      </c>
      <c r="Z9">
        <v>4.4138000000000002</v>
      </c>
      <c r="AA9">
        <v>3.9497000000000002E-4</v>
      </c>
      <c r="AB9" s="1">
        <v>8.3436000000000005E-5</v>
      </c>
      <c r="AC9">
        <v>1.9725E-4</v>
      </c>
      <c r="AD9">
        <v>2.4791E-4</v>
      </c>
      <c r="AE9">
        <v>5.6780999999999997E-4</v>
      </c>
      <c r="AF9">
        <v>2.408E-4</v>
      </c>
      <c r="AG9">
        <v>1.0385999999999999E-2</v>
      </c>
      <c r="AH9">
        <v>7.1305999999999994E-2</v>
      </c>
      <c r="AI9">
        <v>1.4822E-2</v>
      </c>
      <c r="AJ9">
        <v>6.8226999999999996E-2</v>
      </c>
      <c r="AK9">
        <v>2.5156000000000001E-2</v>
      </c>
      <c r="AL9">
        <v>8.3412E-3</v>
      </c>
      <c r="AM9">
        <v>2.4129000000000001E-2</v>
      </c>
      <c r="AN9">
        <v>7.9494999999999996E-2</v>
      </c>
      <c r="AO9">
        <v>2.7869000000000001E-2</v>
      </c>
      <c r="AP9">
        <v>9.1197E-2</v>
      </c>
      <c r="AQ9">
        <v>1.2936E-3</v>
      </c>
      <c r="AR9">
        <v>6.8977000000000003E-4</v>
      </c>
      <c r="AS9">
        <v>5.0879999999999996E-3</v>
      </c>
      <c r="AT9">
        <v>5.9741000000000004E-3</v>
      </c>
      <c r="AU9">
        <v>1.8561999999999999E-3</v>
      </c>
      <c r="AV9">
        <v>4.7469E-4</v>
      </c>
      <c r="AW9">
        <v>5.2899999999999996E-4</v>
      </c>
      <c r="AX9">
        <v>2.4489999999999998E-3</v>
      </c>
      <c r="AY9">
        <v>1.1992000000000001E-3</v>
      </c>
      <c r="AZ9">
        <v>1.7131E-3</v>
      </c>
      <c r="BA9">
        <v>3.6643999999999999E-4</v>
      </c>
      <c r="BB9">
        <v>3.9212999999999997E-4</v>
      </c>
      <c r="BC9">
        <v>1.5097E-4</v>
      </c>
      <c r="BD9">
        <v>2.3681000000000002E-3</v>
      </c>
      <c r="BE9">
        <v>6.5103999999999997E-4</v>
      </c>
      <c r="BF9">
        <v>1.3753000000000001E-3</v>
      </c>
      <c r="BG9">
        <v>3.5858999999999999E-4</v>
      </c>
      <c r="BH9">
        <v>0.10503</v>
      </c>
      <c r="BI9">
        <v>2.3902E-2</v>
      </c>
      <c r="BJ9">
        <v>0.1008</v>
      </c>
      <c r="BK9">
        <v>7.3035000000000003E-2</v>
      </c>
      <c r="BL9">
        <v>1.218E-2</v>
      </c>
      <c r="BM9">
        <v>8.2214000000000002E-3</v>
      </c>
      <c r="BN9">
        <v>0.24714</v>
      </c>
      <c r="BO9">
        <v>4.4974E-2</v>
      </c>
      <c r="BP9">
        <v>2.0202000000000002E-3</v>
      </c>
      <c r="BQ9" s="1">
        <v>6.0183000000000003E-5</v>
      </c>
      <c r="BR9">
        <v>1.8552E-4</v>
      </c>
      <c r="BS9" s="1">
        <v>9.4523000000000003E-5</v>
      </c>
      <c r="BT9" s="1">
        <v>9.4429E-5</v>
      </c>
      <c r="BU9">
        <v>1.1877000000000001E-3</v>
      </c>
      <c r="BV9">
        <v>4.3289000000000001E-4</v>
      </c>
      <c r="BW9">
        <v>1.8927000000000001E-4</v>
      </c>
      <c r="BX9">
        <v>8.2271999999999998E-2</v>
      </c>
      <c r="BY9">
        <v>4.2599000000000001E-4</v>
      </c>
      <c r="BZ9">
        <v>4.6532999999999998</v>
      </c>
    </row>
    <row r="10" spans="1:78">
      <c r="A10" s="3" t="s">
        <v>4</v>
      </c>
      <c r="B10">
        <v>0.21958</v>
      </c>
      <c r="C10">
        <v>1.1467E-4</v>
      </c>
      <c r="D10" s="1">
        <v>8.8016999999999994E-5</v>
      </c>
      <c r="E10">
        <v>1.6118E-3</v>
      </c>
      <c r="F10">
        <v>5.8430999999999999E-4</v>
      </c>
      <c r="G10">
        <v>4.6986E-4</v>
      </c>
      <c r="H10" s="1">
        <v>7.3033000000000004E-5</v>
      </c>
      <c r="I10" s="1">
        <v>8.2078999999999998E-5</v>
      </c>
      <c r="J10">
        <v>1.2841999999999999E-4</v>
      </c>
      <c r="K10" s="1">
        <v>4.7910999999999997E-6</v>
      </c>
      <c r="L10" s="1">
        <v>1.1105E-5</v>
      </c>
      <c r="M10">
        <v>2.6576</v>
      </c>
      <c r="N10">
        <v>1.2462</v>
      </c>
      <c r="O10">
        <v>1.8920999999999999</v>
      </c>
      <c r="P10">
        <v>0.85085</v>
      </c>
      <c r="Q10">
        <v>7.3632999999999997E-3</v>
      </c>
      <c r="R10" s="18">
        <v>1.1429999999999999E-3</v>
      </c>
      <c r="S10">
        <v>7.4197E-4</v>
      </c>
      <c r="T10">
        <v>1.2181E-4</v>
      </c>
      <c r="U10">
        <v>1.8558E-4</v>
      </c>
      <c r="V10">
        <v>1.0486E-4</v>
      </c>
      <c r="W10">
        <v>1.1576E-4</v>
      </c>
      <c r="X10">
        <v>1.0318E-3</v>
      </c>
      <c r="Y10">
        <v>1.6178E-3</v>
      </c>
      <c r="Z10">
        <v>1.6588E-3</v>
      </c>
      <c r="AA10">
        <v>8.6895E-2</v>
      </c>
      <c r="AB10" s="1">
        <v>4.6836999999999999E-5</v>
      </c>
      <c r="AC10" s="1">
        <v>3.8757000000000002E-5</v>
      </c>
      <c r="AD10">
        <v>1.3925999999999999E-4</v>
      </c>
      <c r="AE10">
        <v>3.19E-4</v>
      </c>
      <c r="AF10">
        <v>1.3532999999999999E-4</v>
      </c>
      <c r="AG10" s="1">
        <v>4.3414000000000001E-5</v>
      </c>
      <c r="AH10" s="1">
        <v>4.9704999999999999E-5</v>
      </c>
      <c r="AI10" s="1">
        <v>9.3992000000000004E-5</v>
      </c>
      <c r="AJ10" s="1">
        <v>3.9802999999999998E-5</v>
      </c>
      <c r="AK10" s="1">
        <v>4.8203999999999996E-6</v>
      </c>
      <c r="AL10">
        <v>3.0209000000000001</v>
      </c>
      <c r="AM10">
        <v>3.9478</v>
      </c>
      <c r="AN10">
        <v>2.09</v>
      </c>
      <c r="AO10">
        <v>1.7705</v>
      </c>
      <c r="AP10">
        <v>9.6459000000000007E-3</v>
      </c>
      <c r="AQ10" s="1">
        <v>7.3918999999999995E-5</v>
      </c>
      <c r="AR10">
        <v>2.1500999999999999E-4</v>
      </c>
      <c r="AS10" s="1">
        <v>5.0127999999999998E-5</v>
      </c>
      <c r="AT10">
        <v>9.2559000000000001E-4</v>
      </c>
      <c r="AU10">
        <v>5.3041999999999998E-4</v>
      </c>
      <c r="AV10">
        <v>1.4789E-4</v>
      </c>
      <c r="AW10">
        <v>1.6493000000000001E-4</v>
      </c>
      <c r="AX10">
        <v>5.3403000000000001E-3</v>
      </c>
      <c r="AY10">
        <v>3.7397E-4</v>
      </c>
      <c r="AZ10">
        <v>5.3437999999999999E-4</v>
      </c>
      <c r="BA10">
        <v>3.6643999999999999E-3</v>
      </c>
      <c r="BB10" s="1">
        <v>5.4489E-5</v>
      </c>
      <c r="BC10" s="1">
        <v>2.1013E-5</v>
      </c>
      <c r="BD10">
        <v>3.2936E-4</v>
      </c>
      <c r="BE10" s="1">
        <v>9.0618999999999994E-5</v>
      </c>
      <c r="BF10">
        <v>1.9117E-4</v>
      </c>
      <c r="BG10" s="1">
        <v>4.9895999999999998E-5</v>
      </c>
      <c r="BH10" s="1">
        <v>4.3458000000000003E-5</v>
      </c>
      <c r="BI10" s="1">
        <v>8.3920999999999998E-5</v>
      </c>
      <c r="BJ10" s="1">
        <v>1.2038999999999999E-5</v>
      </c>
      <c r="BK10" s="1">
        <v>1.0808000000000001E-5</v>
      </c>
      <c r="BL10">
        <v>2.4262999999999999</v>
      </c>
      <c r="BM10">
        <v>3.1981000000000002</v>
      </c>
      <c r="BN10">
        <v>2.0661999999999998</v>
      </c>
      <c r="BO10">
        <v>1.9639</v>
      </c>
      <c r="BP10">
        <v>1.0671999999999999</v>
      </c>
      <c r="BQ10">
        <v>1.4980000000000001E-4</v>
      </c>
      <c r="BR10">
        <v>4.6148000000000001E-4</v>
      </c>
      <c r="BS10" s="1">
        <v>2.3629999999999999E-5</v>
      </c>
      <c r="BT10" s="1">
        <v>9.4429E-5</v>
      </c>
      <c r="BU10">
        <v>7.7682999999999995E-4</v>
      </c>
      <c r="BV10">
        <v>1.0767000000000001E-3</v>
      </c>
      <c r="BW10">
        <v>4.7058000000000001E-4</v>
      </c>
      <c r="BX10">
        <v>1.6816999999999999E-3</v>
      </c>
      <c r="BY10">
        <v>1.0593E-3</v>
      </c>
      <c r="BZ10">
        <v>2.1061999999999999E-3</v>
      </c>
    </row>
    <row r="11" spans="1:78" s="18" customFormat="1">
      <c r="A11" s="16" t="s">
        <v>5</v>
      </c>
      <c r="B11" s="18">
        <v>3.3082E-2</v>
      </c>
      <c r="C11" s="18">
        <v>1.9715999999999999E-4</v>
      </c>
      <c r="D11" s="18">
        <v>5.1715999999999998E-2</v>
      </c>
      <c r="E11" s="18">
        <v>9.4701000000000004E-3</v>
      </c>
      <c r="F11" s="18">
        <v>0.50641999999999998</v>
      </c>
      <c r="G11" s="18">
        <v>0.31196000000000002</v>
      </c>
      <c r="H11" s="18">
        <v>0.28450999999999999</v>
      </c>
      <c r="I11" s="18">
        <v>1.4113E-4</v>
      </c>
      <c r="J11" s="18">
        <v>2.2080999999999999E-4</v>
      </c>
      <c r="K11" s="27">
        <v>8.2377000000000008E-6</v>
      </c>
      <c r="L11" s="27">
        <v>1.9094E-5</v>
      </c>
      <c r="M11" s="18">
        <v>0</v>
      </c>
      <c r="N11" s="18">
        <v>0</v>
      </c>
      <c r="O11" s="18">
        <v>0</v>
      </c>
      <c r="P11" s="18">
        <v>0</v>
      </c>
      <c r="Q11" s="27">
        <v>2.9374E-5</v>
      </c>
      <c r="R11" s="28">
        <v>1.5847999999999999E-4</v>
      </c>
      <c r="S11" s="28">
        <v>1.8786000000000001E-4</v>
      </c>
      <c r="T11" s="29">
        <v>4.8724000000000003E-5</v>
      </c>
      <c r="U11" s="29">
        <v>4.6394000000000003E-5</v>
      </c>
      <c r="V11" s="28">
        <v>9.5806999999999999E-4</v>
      </c>
      <c r="W11" s="28">
        <v>2.1153E-4</v>
      </c>
      <c r="X11" s="28">
        <v>1.4286999999999999E-4</v>
      </c>
      <c r="Y11" s="28">
        <v>4.0989999999999999E-4</v>
      </c>
      <c r="Z11" s="28">
        <v>4.2038999999999998E-4</v>
      </c>
      <c r="AA11" s="18">
        <v>5.6424000000000003E-4</v>
      </c>
      <c r="AB11" s="27">
        <v>5.9861999999999997E-5</v>
      </c>
      <c r="AC11" s="27">
        <v>4.9539000000000001E-5</v>
      </c>
      <c r="AD11" s="18">
        <v>1.7785000000000001E-4</v>
      </c>
      <c r="AE11" s="18">
        <v>1.6580999999999999</v>
      </c>
      <c r="AF11" s="18">
        <v>0.84491000000000005</v>
      </c>
      <c r="AG11" s="18">
        <v>0.36703999999999998</v>
      </c>
      <c r="AH11" s="27">
        <v>6.3485999999999995E-5</v>
      </c>
      <c r="AI11" s="18">
        <v>1.2005E-4</v>
      </c>
      <c r="AJ11" s="27">
        <v>5.0834999999999997E-5</v>
      </c>
      <c r="AK11" s="27">
        <v>6.1561000000000002E-6</v>
      </c>
      <c r="AL11" s="18">
        <v>0</v>
      </c>
      <c r="AM11" s="18">
        <v>0</v>
      </c>
      <c r="AN11" s="18">
        <v>0</v>
      </c>
      <c r="AO11" s="18">
        <v>0</v>
      </c>
      <c r="AP11" s="18">
        <v>6.6396999999999995E-4</v>
      </c>
      <c r="AQ11" s="18">
        <v>1.9589E-4</v>
      </c>
      <c r="AR11" s="18">
        <v>5.6944999999999999E-4</v>
      </c>
      <c r="AS11" s="18">
        <v>1.7545000000000001E-4</v>
      </c>
      <c r="AT11" s="18">
        <v>1.6829E-4</v>
      </c>
      <c r="AU11" s="18">
        <v>1.4055000000000001E-3</v>
      </c>
      <c r="AV11" s="18">
        <v>3.9188E-4</v>
      </c>
      <c r="AW11" s="18">
        <v>4.3671999999999998E-4</v>
      </c>
      <c r="AX11" s="18">
        <v>1.068E-2</v>
      </c>
      <c r="AY11" s="18">
        <v>9.9000999999999994E-4</v>
      </c>
      <c r="AZ11" s="18">
        <v>1.4143000000000001E-3</v>
      </c>
      <c r="BA11" s="18">
        <v>7.3287000000000005E-4</v>
      </c>
      <c r="BB11" s="18">
        <v>2.3881E-4</v>
      </c>
      <c r="BC11" s="27">
        <v>9.1941000000000006E-5</v>
      </c>
      <c r="BD11" s="18">
        <v>7.6064000000000001E-3</v>
      </c>
      <c r="BE11" s="18">
        <v>0.97933000000000003</v>
      </c>
      <c r="BF11" s="18">
        <v>1.9879</v>
      </c>
      <c r="BG11" s="18">
        <v>0.67456000000000005</v>
      </c>
      <c r="BH11" s="18">
        <v>1.9024999999999999E-4</v>
      </c>
      <c r="BI11" s="18">
        <v>3.6747E-4</v>
      </c>
      <c r="BJ11" s="27">
        <v>5.2747999999999997E-5</v>
      </c>
      <c r="BK11" s="27">
        <v>4.7315999999999999E-5</v>
      </c>
      <c r="BL11" s="18">
        <v>0</v>
      </c>
      <c r="BM11" s="18">
        <v>0</v>
      </c>
      <c r="BN11" s="18">
        <v>0</v>
      </c>
      <c r="BO11" s="18">
        <v>0</v>
      </c>
      <c r="BP11" s="18">
        <v>3.4809000000000001E-4</v>
      </c>
      <c r="BQ11" s="18">
        <v>1.5784999999999999E-4</v>
      </c>
      <c r="BR11" s="18">
        <v>4.8629000000000001E-4</v>
      </c>
      <c r="BS11" s="18">
        <v>8.5068000000000003E-4</v>
      </c>
      <c r="BT11" s="18">
        <v>5.3510999999999999E-4</v>
      </c>
      <c r="BU11" s="18">
        <v>1.1877000000000001E-3</v>
      </c>
      <c r="BV11" s="18">
        <v>1.1345000000000001E-3</v>
      </c>
      <c r="BW11" s="18">
        <v>4.9582999999999995E-4</v>
      </c>
      <c r="BX11" s="18">
        <v>1.7721E-3</v>
      </c>
      <c r="BY11" s="18">
        <v>1.1161999999999999E-3</v>
      </c>
      <c r="BZ11" s="18">
        <v>3.2203000000000002E-3</v>
      </c>
    </row>
    <row r="12" spans="1:78" s="18" customFormat="1">
      <c r="A12" s="16" t="s">
        <v>6</v>
      </c>
      <c r="B12" s="18">
        <v>0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28">
        <v>1.7064000000000001E-4</v>
      </c>
      <c r="S12" s="28">
        <v>4.0677999999999999E-3</v>
      </c>
      <c r="T12" s="28">
        <v>2.3875E-2</v>
      </c>
      <c r="U12" s="28">
        <v>2.3706000000000001E-2</v>
      </c>
      <c r="V12" s="28">
        <v>8.1055000000000002E-2</v>
      </c>
      <c r="W12" s="28">
        <v>3.1940999999999997E-2</v>
      </c>
      <c r="X12" s="28">
        <v>7.0163000000000003E-2</v>
      </c>
      <c r="Y12" s="28">
        <v>1.8389</v>
      </c>
      <c r="Z12" s="28">
        <v>1.7067000000000001</v>
      </c>
      <c r="AA12" s="18">
        <v>0</v>
      </c>
      <c r="AB12" s="18">
        <v>0</v>
      </c>
      <c r="AC12" s="18">
        <v>0</v>
      </c>
      <c r="AD12" s="18">
        <v>0</v>
      </c>
      <c r="AE12" s="18">
        <v>0</v>
      </c>
      <c r="AF12" s="18">
        <v>0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1.95E-4</v>
      </c>
      <c r="AR12" s="18">
        <v>5.9412E-2</v>
      </c>
      <c r="AS12" s="18">
        <v>0.14280999999999999</v>
      </c>
      <c r="AT12" s="18">
        <v>4.4850000000000001E-2</v>
      </c>
      <c r="AU12" s="18">
        <v>0.15406</v>
      </c>
      <c r="AV12" s="18">
        <v>5.1755000000000004E-3</v>
      </c>
      <c r="AW12" s="18">
        <v>9.0550000000000005E-2</v>
      </c>
      <c r="AX12" s="18">
        <v>1.3591</v>
      </c>
      <c r="AY12" s="18">
        <v>2.5874000000000001</v>
      </c>
      <c r="AZ12" s="18">
        <v>2.7176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0</v>
      </c>
      <c r="BI12" s="18">
        <v>0</v>
      </c>
      <c r="BJ12" s="18">
        <v>0</v>
      </c>
      <c r="BK12" s="18">
        <v>0</v>
      </c>
      <c r="BL12" s="18">
        <v>9.6745999999999996E-4</v>
      </c>
      <c r="BM12" s="18">
        <v>2.0552999999999999E-3</v>
      </c>
      <c r="BN12" s="18">
        <v>9.9643999999999991E-4</v>
      </c>
      <c r="BO12" s="18">
        <v>7.938E-4</v>
      </c>
      <c r="BP12" s="18">
        <v>0</v>
      </c>
      <c r="BQ12" s="18">
        <v>1.7134E-4</v>
      </c>
      <c r="BR12" s="18">
        <v>3.5278000000000002E-3</v>
      </c>
      <c r="BS12" s="27">
        <v>9.4523000000000003E-5</v>
      </c>
      <c r="BT12" s="18">
        <v>1.8446000000000001E-2</v>
      </c>
      <c r="BU12" s="18">
        <v>0.19833999999999999</v>
      </c>
      <c r="BV12" s="18">
        <v>0.12017</v>
      </c>
      <c r="BW12" s="18">
        <v>1.295E-2</v>
      </c>
      <c r="BX12" s="18">
        <v>0.24168000000000001</v>
      </c>
      <c r="BY12" s="18">
        <v>3.2082000000000002</v>
      </c>
      <c r="BZ12" s="18">
        <v>3.0464000000000002</v>
      </c>
    </row>
    <row r="13" spans="1:78">
      <c r="A13" s="3" t="s">
        <v>7</v>
      </c>
      <c r="B13">
        <v>3.2504999999999999E-2</v>
      </c>
      <c r="C13" s="1">
        <v>7.5413000000000005E-5</v>
      </c>
      <c r="D13" s="1">
        <v>5.7873E-5</v>
      </c>
      <c r="E13">
        <v>1.0598000000000001E-3</v>
      </c>
      <c r="F13">
        <v>3.8419000000000002E-4</v>
      </c>
      <c r="G13">
        <v>3.0906E-4</v>
      </c>
      <c r="H13" s="1">
        <v>4.8013999999999998E-5</v>
      </c>
      <c r="I13" s="1">
        <v>5.3943000000000002E-5</v>
      </c>
      <c r="J13" s="1">
        <v>8.4429000000000001E-5</v>
      </c>
      <c r="K13" s="1">
        <v>3.1501999999999999E-6</v>
      </c>
      <c r="L13" s="1">
        <v>7.3034000000000002E-6</v>
      </c>
      <c r="M13">
        <v>0.65622999999999998</v>
      </c>
      <c r="N13">
        <v>0.41541</v>
      </c>
      <c r="O13">
        <v>0.71474000000000004</v>
      </c>
      <c r="P13">
        <v>0.66854000000000002</v>
      </c>
      <c r="Q13">
        <v>3.5542999999999998E-3</v>
      </c>
      <c r="R13" s="18">
        <v>2.9452999999999999E-4</v>
      </c>
      <c r="S13">
        <v>5.4235000000000004E-3</v>
      </c>
      <c r="T13" s="1">
        <v>2.4362000000000002E-5</v>
      </c>
      <c r="U13" s="1">
        <v>1.1942E-5</v>
      </c>
      <c r="V13" s="1">
        <v>4.9341000000000001E-5</v>
      </c>
      <c r="W13" s="1">
        <v>5.4466999999999999E-5</v>
      </c>
      <c r="X13">
        <v>2.6562999999999999E-4</v>
      </c>
      <c r="Y13">
        <v>7.6139000000000003E-4</v>
      </c>
      <c r="Z13">
        <v>7.8056000000000002E-4</v>
      </c>
      <c r="AA13">
        <v>2.0934000000000001E-2</v>
      </c>
      <c r="AB13">
        <v>1.4686000000000001E-4</v>
      </c>
      <c r="AC13">
        <v>1.2152E-4</v>
      </c>
      <c r="AD13">
        <v>4.3638999999999999E-4</v>
      </c>
      <c r="AE13">
        <v>9.9949000000000001E-4</v>
      </c>
      <c r="AF13">
        <v>4.2384999999999998E-4</v>
      </c>
      <c r="AG13">
        <v>1.3613000000000001E-4</v>
      </c>
      <c r="AH13">
        <v>1.5577000000000001E-4</v>
      </c>
      <c r="AI13">
        <v>2.9453999999999998E-4</v>
      </c>
      <c r="AJ13">
        <v>1.2472000000000001E-4</v>
      </c>
      <c r="AK13" s="1">
        <v>1.5105E-5</v>
      </c>
      <c r="AL13">
        <v>0.59640000000000004</v>
      </c>
      <c r="AM13">
        <v>0.58848999999999996</v>
      </c>
      <c r="AN13">
        <v>0.38074999999999998</v>
      </c>
      <c r="AO13">
        <v>0.53361000000000003</v>
      </c>
      <c r="AP13">
        <v>3.3359999999999998E-4</v>
      </c>
      <c r="AQ13" s="1">
        <v>9.8430000000000005E-5</v>
      </c>
      <c r="AR13">
        <v>2.8611000000000001E-4</v>
      </c>
      <c r="AS13" s="1">
        <v>6.6750999999999998E-5</v>
      </c>
      <c r="AT13">
        <v>3.3658000000000001E-4</v>
      </c>
      <c r="AU13">
        <v>7.0618999999999999E-4</v>
      </c>
      <c r="AV13">
        <v>1.9689999999999999E-4</v>
      </c>
      <c r="AW13">
        <v>2.1943E-4</v>
      </c>
      <c r="AX13">
        <v>1.0158999999999999E-3</v>
      </c>
      <c r="AY13">
        <v>4.975E-4</v>
      </c>
      <c r="AZ13">
        <v>7.1075999999999995E-4</v>
      </c>
      <c r="BA13">
        <v>1.7200000000000001E-4</v>
      </c>
      <c r="BB13">
        <v>1.9707000000000001E-4</v>
      </c>
      <c r="BC13" s="1">
        <v>7.5867999999999999E-5</v>
      </c>
      <c r="BD13">
        <v>5.0708000000000003E-3</v>
      </c>
      <c r="BE13">
        <v>3.2717999999999999E-4</v>
      </c>
      <c r="BF13">
        <v>6.912E-4</v>
      </c>
      <c r="BG13">
        <v>1.8021000000000001E-4</v>
      </c>
      <c r="BH13">
        <v>1.5699E-4</v>
      </c>
      <c r="BI13">
        <v>3.0322999999999998E-4</v>
      </c>
      <c r="BJ13" s="1">
        <v>4.3526000000000003E-5</v>
      </c>
      <c r="BK13" s="1">
        <v>3.9045000000000003E-5</v>
      </c>
      <c r="BL13">
        <v>0.68452000000000002</v>
      </c>
      <c r="BM13">
        <v>0.98655999999999999</v>
      </c>
      <c r="BN13">
        <v>0.61219999999999997</v>
      </c>
      <c r="BO13">
        <v>0.36679</v>
      </c>
      <c r="BP13">
        <v>0.20050999999999999</v>
      </c>
      <c r="BQ13">
        <v>1.032E-4</v>
      </c>
      <c r="BR13">
        <v>3.1788999999999998E-4</v>
      </c>
      <c r="BS13" s="1">
        <v>1.0645999999999999E-5</v>
      </c>
      <c r="BT13" s="1">
        <v>1.4182000000000001E-5</v>
      </c>
      <c r="BU13">
        <v>5.3510999999999999E-4</v>
      </c>
      <c r="BV13">
        <v>7.4167000000000005E-4</v>
      </c>
      <c r="BW13">
        <v>3.2414E-4</v>
      </c>
      <c r="BX13">
        <v>1.1584E-3</v>
      </c>
      <c r="BY13">
        <v>7.2983E-4</v>
      </c>
      <c r="BZ13">
        <v>1.4507000000000001E-3</v>
      </c>
    </row>
    <row r="14" spans="1:78">
      <c r="A14" s="2" t="s">
        <v>8</v>
      </c>
      <c r="B14">
        <v>1.4446000000000001E-4</v>
      </c>
      <c r="C14">
        <v>2.5307999999999998E-4</v>
      </c>
      <c r="D14">
        <v>1.8101E-3</v>
      </c>
      <c r="E14">
        <v>1.0891</v>
      </c>
      <c r="F14">
        <v>1.7166E-3</v>
      </c>
      <c r="G14">
        <v>1.0369999999999999E-3</v>
      </c>
      <c r="H14">
        <v>1.6118999999999999E-4</v>
      </c>
      <c r="I14">
        <v>1.8116000000000001E-4</v>
      </c>
      <c r="J14">
        <v>2.8343999999999998E-4</v>
      </c>
      <c r="K14" s="1">
        <v>1.0574000000000001E-5</v>
      </c>
      <c r="L14" s="1">
        <v>2.4508999999999999E-5</v>
      </c>
      <c r="M14">
        <v>8.2022999999999992E-3</v>
      </c>
      <c r="N14">
        <v>2.7605999999999999E-2</v>
      </c>
      <c r="O14">
        <v>1.9399E-2</v>
      </c>
      <c r="P14">
        <v>4.1914999999999999E-3</v>
      </c>
      <c r="Q14" s="1">
        <v>1.9582999999999999E-5</v>
      </c>
      <c r="R14" s="18">
        <v>9.6095000000000002E-4</v>
      </c>
      <c r="S14">
        <v>7.5930999999999998E-2</v>
      </c>
      <c r="T14">
        <v>3.7759999999999998E-3</v>
      </c>
      <c r="U14">
        <v>2.0877999999999999E-3</v>
      </c>
      <c r="V14">
        <v>1.9161E-3</v>
      </c>
      <c r="W14">
        <v>1.7783999999999999E-4</v>
      </c>
      <c r="X14">
        <v>8.6742999999999998E-4</v>
      </c>
      <c r="Y14">
        <v>2.4854999999999999E-3</v>
      </c>
      <c r="Z14">
        <v>2.5485999999999998E-3</v>
      </c>
      <c r="AA14">
        <v>2.2570000000000001E-4</v>
      </c>
      <c r="AB14">
        <v>1.1283E-4</v>
      </c>
      <c r="AC14" s="1">
        <v>9.3358999999999998E-5</v>
      </c>
      <c r="AD14">
        <v>2.1251E-3</v>
      </c>
      <c r="AE14">
        <v>7.6787000000000003E-4</v>
      </c>
      <c r="AF14">
        <v>3.2563999999999998E-4</v>
      </c>
      <c r="AG14">
        <v>1.0459E-4</v>
      </c>
      <c r="AH14">
        <v>1.1967E-4</v>
      </c>
      <c r="AI14">
        <v>2.2629E-4</v>
      </c>
      <c r="AJ14" s="1">
        <v>9.5820000000000001E-5</v>
      </c>
      <c r="AK14" s="1">
        <v>1.1603999999999999E-5</v>
      </c>
      <c r="AL14">
        <v>9.7316999999999994E-3</v>
      </c>
      <c r="AM14">
        <v>9.3834000000000001E-3</v>
      </c>
      <c r="AN14">
        <v>4.1840999999999996E-3</v>
      </c>
      <c r="AO14">
        <v>1.6393E-3</v>
      </c>
      <c r="AP14">
        <v>4.9792E-4</v>
      </c>
      <c r="AQ14">
        <v>1.4689999999999999E-4</v>
      </c>
      <c r="AR14">
        <v>0.13009999999999999</v>
      </c>
      <c r="AS14">
        <v>2.9826000000000002E-3</v>
      </c>
      <c r="AT14">
        <v>1.6829E-4</v>
      </c>
      <c r="AU14">
        <v>1.054E-3</v>
      </c>
      <c r="AV14">
        <v>2.9388E-4</v>
      </c>
      <c r="AW14">
        <v>3.2749999999999999E-4</v>
      </c>
      <c r="AX14">
        <v>1.5161E-3</v>
      </c>
      <c r="AY14">
        <v>7.4240999999999999E-4</v>
      </c>
      <c r="AZ14">
        <v>1.4942E-2</v>
      </c>
      <c r="BA14" s="1">
        <v>4.3590000000000001E-6</v>
      </c>
      <c r="BB14" s="1">
        <v>4.9966999999999999E-6</v>
      </c>
      <c r="BC14">
        <v>6.7075999999999997E-2</v>
      </c>
      <c r="BD14">
        <v>2.145</v>
      </c>
      <c r="BE14" s="1">
        <v>8.2889999999999998E-6</v>
      </c>
      <c r="BF14" s="1">
        <v>1.7512000000000001E-5</v>
      </c>
      <c r="BG14" s="1">
        <v>4.5684000000000002E-6</v>
      </c>
      <c r="BH14" s="1">
        <v>3.9782999999999997E-6</v>
      </c>
      <c r="BI14" s="1">
        <v>7.6936000000000003E-6</v>
      </c>
      <c r="BJ14" s="1">
        <v>1.1033000000000001E-6</v>
      </c>
      <c r="BK14" s="1">
        <v>9.8977999999999991E-7</v>
      </c>
      <c r="BL14">
        <v>8.5261E-3</v>
      </c>
      <c r="BM14">
        <v>1.0277E-2</v>
      </c>
      <c r="BN14">
        <v>8.7816999999999999E-3</v>
      </c>
      <c r="BO14">
        <v>3.1106999999999999E-4</v>
      </c>
      <c r="BP14">
        <v>3.5355999999999999E-3</v>
      </c>
      <c r="BQ14" s="1">
        <v>1.9202999999999999E-5</v>
      </c>
      <c r="BR14">
        <v>4.0217000000000003E-2</v>
      </c>
      <c r="BS14" s="1">
        <v>1.9790999999999998E-6</v>
      </c>
      <c r="BT14">
        <v>2.5496999999999998E-3</v>
      </c>
      <c r="BU14">
        <v>1.5440000000000001E-2</v>
      </c>
      <c r="BV14">
        <v>1.2427999999999999</v>
      </c>
      <c r="BW14" s="1">
        <v>6.0182000000000001E-5</v>
      </c>
      <c r="BX14">
        <v>2.1523000000000001E-4</v>
      </c>
      <c r="BY14">
        <v>1.3606999999999999E-4</v>
      </c>
      <c r="BZ14">
        <v>2.6971999999999999E-4</v>
      </c>
    </row>
    <row r="15" spans="1:78">
      <c r="A15" s="2" t="s">
        <v>9</v>
      </c>
      <c r="B15" s="1">
        <v>3.6832000000000002E-5</v>
      </c>
      <c r="C15">
        <v>2.3581000000000001E-3</v>
      </c>
      <c r="D15">
        <v>1.0342999999999999E-3</v>
      </c>
      <c r="E15">
        <v>0.15151999999999999</v>
      </c>
      <c r="F15">
        <v>1.7166000000000001E-2</v>
      </c>
      <c r="G15">
        <v>1.3803999999999999E-3</v>
      </c>
      <c r="H15">
        <v>3.862E-3</v>
      </c>
      <c r="I15">
        <v>4.8228000000000002E-4</v>
      </c>
      <c r="J15" s="1">
        <v>9.6253000000000002E-5</v>
      </c>
      <c r="K15" s="1">
        <v>1.4075E-5</v>
      </c>
      <c r="L15" s="1">
        <v>3.2623000000000003E-5</v>
      </c>
      <c r="M15">
        <v>0</v>
      </c>
      <c r="N15">
        <v>0</v>
      </c>
      <c r="O15">
        <v>0</v>
      </c>
      <c r="P15">
        <v>0</v>
      </c>
      <c r="Q15" s="1">
        <v>2.4913000000000002E-6</v>
      </c>
      <c r="R15" s="18">
        <v>2.9079000000000003E-4</v>
      </c>
      <c r="S15">
        <v>8.1356999999999992E-3</v>
      </c>
      <c r="T15">
        <v>1.5592E-3</v>
      </c>
      <c r="U15">
        <v>2.9692E-3</v>
      </c>
      <c r="V15">
        <v>1.3795999999999999E-2</v>
      </c>
      <c r="W15">
        <v>8.4614E-4</v>
      </c>
      <c r="X15">
        <v>7.2227000000000003E-3</v>
      </c>
      <c r="Y15">
        <v>1.1825E-2</v>
      </c>
      <c r="Z15">
        <v>3.6377E-2</v>
      </c>
      <c r="AA15" s="1">
        <v>1.9845999999999999E-5</v>
      </c>
      <c r="AB15">
        <v>2.3839E-3</v>
      </c>
      <c r="AC15">
        <v>1.1835000000000001E-3</v>
      </c>
      <c r="AD15">
        <v>9.2087000000000002E-3</v>
      </c>
      <c r="AE15">
        <v>1.6224E-3</v>
      </c>
      <c r="AF15">
        <v>2.0641000000000001E-3</v>
      </c>
      <c r="AG15">
        <v>8.8394999999999999E-4</v>
      </c>
      <c r="AH15">
        <v>1.5171E-3</v>
      </c>
      <c r="AI15">
        <v>4.7812000000000001E-4</v>
      </c>
      <c r="AJ15" s="1">
        <v>7.1194999999999999E-5</v>
      </c>
      <c r="AK15" s="1">
        <v>4.9036000000000003E-5</v>
      </c>
      <c r="AL15">
        <v>0</v>
      </c>
      <c r="AM15">
        <v>0</v>
      </c>
      <c r="AN15">
        <v>0</v>
      </c>
      <c r="AO15">
        <v>0</v>
      </c>
      <c r="AP15" s="1">
        <v>6.6443000000000001E-5</v>
      </c>
      <c r="AQ15">
        <v>1.0349000000000001E-3</v>
      </c>
      <c r="AR15">
        <v>6.7683999999999999E-3</v>
      </c>
      <c r="AS15">
        <v>1.4737999999999999E-2</v>
      </c>
      <c r="AT15">
        <v>3.3658E-3</v>
      </c>
      <c r="AU15">
        <v>1.8561999999999999E-3</v>
      </c>
      <c r="AV15" s="1">
        <v>3.9295999999999998E-5</v>
      </c>
      <c r="AW15">
        <v>1.0382000000000001E-2</v>
      </c>
      <c r="AX15">
        <v>3.2042000000000001E-2</v>
      </c>
      <c r="AY15">
        <v>5.2297999999999997E-2</v>
      </c>
      <c r="AZ15">
        <v>4.1091000000000003E-2</v>
      </c>
      <c r="BA15">
        <v>7.3287000000000005E-4</v>
      </c>
      <c r="BB15">
        <v>8.3967000000000004E-4</v>
      </c>
      <c r="BC15">
        <v>1.7780000000000001E-3</v>
      </c>
      <c r="BD15">
        <v>0.11409</v>
      </c>
      <c r="BE15">
        <v>2.3499E-4</v>
      </c>
      <c r="BF15">
        <v>4.9644000000000001E-4</v>
      </c>
      <c r="BG15">
        <v>7.6785000000000004E-4</v>
      </c>
      <c r="BH15">
        <v>3.3446000000000002E-4</v>
      </c>
      <c r="BI15">
        <v>2.1778999999999999E-4</v>
      </c>
      <c r="BJ15" s="1">
        <v>9.2732000000000006E-5</v>
      </c>
      <c r="BK15" s="1">
        <v>8.3183000000000006E-5</v>
      </c>
      <c r="BL15">
        <v>0</v>
      </c>
      <c r="BM15">
        <v>0</v>
      </c>
      <c r="BN15">
        <v>0</v>
      </c>
      <c r="BO15">
        <v>0</v>
      </c>
      <c r="BP15">
        <v>1.156E-4</v>
      </c>
      <c r="BQ15" s="1">
        <v>5.2459E-5</v>
      </c>
      <c r="BR15">
        <v>6.3499999999999997E-3</v>
      </c>
      <c r="BS15">
        <v>2.2235999999999999E-2</v>
      </c>
      <c r="BT15">
        <v>1.6998E-3</v>
      </c>
      <c r="BU15">
        <v>2.3754000000000001E-2</v>
      </c>
      <c r="BV15">
        <v>5.5969999999999999E-2</v>
      </c>
      <c r="BW15">
        <v>1.6479999999999999E-4</v>
      </c>
      <c r="BX15">
        <v>1.0285000000000001E-2</v>
      </c>
      <c r="BY15">
        <v>1.1336000000000001E-2</v>
      </c>
      <c r="BZ15">
        <v>9.6608000000000006E-3</v>
      </c>
    </row>
    <row r="16" spans="1:78">
      <c r="A16" s="3" t="s">
        <v>15</v>
      </c>
      <c r="B16">
        <v>0.11138000000000001</v>
      </c>
      <c r="C16">
        <v>4.0425000000000001E-3</v>
      </c>
      <c r="D16">
        <v>2.5858000000000001E-3</v>
      </c>
      <c r="E16">
        <v>0.42616999999999999</v>
      </c>
      <c r="F16">
        <v>9.0981000000000006E-2</v>
      </c>
      <c r="G16">
        <v>1.2423E-2</v>
      </c>
      <c r="H16">
        <v>2.5747000000000001E-3</v>
      </c>
      <c r="I16">
        <v>1.0369E-2</v>
      </c>
      <c r="J16">
        <v>6.0366999999999999E-3</v>
      </c>
      <c r="K16">
        <v>1.1964E-3</v>
      </c>
      <c r="L16">
        <v>3.1645000000000002E-3</v>
      </c>
      <c r="M16">
        <v>0.97445999999999999</v>
      </c>
      <c r="N16">
        <v>1.383</v>
      </c>
      <c r="O16">
        <v>1.7250000000000001</v>
      </c>
      <c r="P16">
        <v>1.0247999999999999</v>
      </c>
      <c r="Q16">
        <v>1.1583E-2</v>
      </c>
      <c r="R16" s="18">
        <v>1.2573000000000001E-2</v>
      </c>
      <c r="S16">
        <v>9.4915999999999993E-3</v>
      </c>
      <c r="T16">
        <v>1.8270999999999999E-3</v>
      </c>
      <c r="U16">
        <v>1.9021999999999999E-3</v>
      </c>
      <c r="V16">
        <v>5.9398999999999997E-3</v>
      </c>
      <c r="W16">
        <v>6.3460000000000003E-4</v>
      </c>
      <c r="X16">
        <v>1.5476999999999999E-2</v>
      </c>
      <c r="Y16">
        <v>7.6868000000000006E-2</v>
      </c>
      <c r="Z16">
        <v>0.13036</v>
      </c>
      <c r="AA16">
        <v>3.3064000000000003E-2</v>
      </c>
      <c r="AB16">
        <v>2.3839E-4</v>
      </c>
      <c r="AC16">
        <v>2.1697999999999999E-3</v>
      </c>
      <c r="AD16">
        <v>7.8628000000000003E-2</v>
      </c>
      <c r="AE16">
        <v>2.9203E-2</v>
      </c>
      <c r="AF16">
        <v>1.3760999999999999E-3</v>
      </c>
      <c r="AG16">
        <v>1.3258000000000001E-2</v>
      </c>
      <c r="AH16">
        <v>3.2870999999999998E-3</v>
      </c>
      <c r="AI16">
        <v>6.6934999999999998E-3</v>
      </c>
      <c r="AJ16">
        <v>3.8467000000000002E-3</v>
      </c>
      <c r="AK16">
        <v>1.4710999999999999E-4</v>
      </c>
      <c r="AL16">
        <v>1.931</v>
      </c>
      <c r="AM16">
        <v>1.7908999999999999</v>
      </c>
      <c r="AN16">
        <v>1.3912</v>
      </c>
      <c r="AO16">
        <v>1.3835999999999999</v>
      </c>
      <c r="AP16">
        <v>7.5413999999999995E-2</v>
      </c>
      <c r="AQ16">
        <v>5.9503999999999998E-3</v>
      </c>
      <c r="AR16">
        <v>6.0162999999999996E-3</v>
      </c>
      <c r="AS16">
        <v>7.0180000000000004E-4</v>
      </c>
      <c r="AT16">
        <v>6.9842000000000003E-3</v>
      </c>
      <c r="AU16">
        <v>0.10766000000000001</v>
      </c>
      <c r="AV16" s="1">
        <v>2.7897000000000001E-5</v>
      </c>
      <c r="AW16">
        <v>4.6141000000000003E-3</v>
      </c>
      <c r="AX16">
        <v>0.22963</v>
      </c>
      <c r="AY16">
        <v>2.2227E-2</v>
      </c>
      <c r="AZ16">
        <v>1.1206000000000001E-2</v>
      </c>
      <c r="BA16">
        <v>0.76658000000000004</v>
      </c>
      <c r="BB16">
        <v>4.1983E-4</v>
      </c>
      <c r="BC16">
        <v>1.1314000000000001E-3</v>
      </c>
      <c r="BD16">
        <v>0.45132</v>
      </c>
      <c r="BE16">
        <v>4.1821999999999996E-3</v>
      </c>
      <c r="BF16">
        <v>2.3896E-4</v>
      </c>
      <c r="BG16">
        <v>6.5268000000000001E-3</v>
      </c>
      <c r="BH16">
        <v>3.3446000000000001E-3</v>
      </c>
      <c r="BI16">
        <v>3.2301999999999999E-3</v>
      </c>
      <c r="BJ16">
        <v>4.7293000000000002E-2</v>
      </c>
      <c r="BK16">
        <v>6.6545999999999999E-4</v>
      </c>
      <c r="BL16">
        <v>1.8416999999999999</v>
      </c>
      <c r="BM16">
        <v>2.5651000000000002</v>
      </c>
      <c r="BN16">
        <v>1.6986000000000001</v>
      </c>
      <c r="BO16">
        <v>1.3812</v>
      </c>
      <c r="BP16">
        <v>0.61868999999999996</v>
      </c>
      <c r="BQ16">
        <v>0.32773999999999998</v>
      </c>
      <c r="BR16">
        <v>0.25189</v>
      </c>
      <c r="BS16">
        <v>2.7410999999999998E-3</v>
      </c>
      <c r="BT16">
        <v>6.5157000000000001E-3</v>
      </c>
      <c r="BU16">
        <v>0.44775999999999999</v>
      </c>
      <c r="BV16">
        <v>2.1399999999999999E-2</v>
      </c>
      <c r="BW16">
        <v>1.5108E-2</v>
      </c>
      <c r="BX16">
        <v>2.5711999999999999E-2</v>
      </c>
      <c r="BY16">
        <v>1.7976000000000001</v>
      </c>
      <c r="BZ16">
        <v>3.7290999999999999</v>
      </c>
    </row>
    <row r="17" spans="1:78">
      <c r="A17" s="3" t="s">
        <v>19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 s="18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1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1</v>
      </c>
      <c r="BW17">
        <v>1</v>
      </c>
      <c r="BX17">
        <v>1</v>
      </c>
      <c r="BY17">
        <v>1</v>
      </c>
      <c r="BZ17">
        <v>1</v>
      </c>
    </row>
    <row r="18" spans="1:78">
      <c r="A18" s="3" t="s">
        <v>11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 s="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1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1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</row>
    <row r="23" spans="1:78">
      <c r="U23" t="s">
        <v>26</v>
      </c>
      <c r="V23" t="s">
        <v>25</v>
      </c>
    </row>
    <row r="24" spans="1:78">
      <c r="T24" t="s">
        <v>27</v>
      </c>
      <c r="U24">
        <f>(25.4+24.28+23.16+24.43+23.03)/5</f>
        <v>24.060000000000002</v>
      </c>
      <c r="V24">
        <f>(51.1+45.09+46.98+45.78+45.01)/5</f>
        <v>46.791999999999994</v>
      </c>
    </row>
    <row r="25" spans="1:78">
      <c r="T25" t="s">
        <v>28</v>
      </c>
      <c r="U25">
        <f>(0.66+0.61+0.64+0.46+0.65)/5</f>
        <v>0.60399999999999998</v>
      </c>
      <c r="V25">
        <f>(1.27+1.33+1.18+1.38+1.21)/5</f>
        <v>1.274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3"/>
  <sheetViews>
    <sheetView workbookViewId="0">
      <pane xSplit="8" ySplit="21" topLeftCell="N22" activePane="bottomRight" state="frozen"/>
      <selection pane="topRight" activeCell="I1" sqref="I1"/>
      <selection pane="bottomLeft" activeCell="A22" sqref="A22"/>
      <selection pane="bottomRight" activeCell="D20" sqref="D20"/>
    </sheetView>
  </sheetViews>
  <sheetFormatPr baseColWidth="10" defaultRowHeight="16"/>
  <cols>
    <col min="1" max="1" width="38.5" bestFit="1" customWidth="1"/>
    <col min="18" max="18" width="9.6640625" customWidth="1"/>
  </cols>
  <sheetData>
    <row r="1" spans="1:78" s="9" customFormat="1" ht="17" thickBot="1">
      <c r="A1" s="12" t="s">
        <v>10</v>
      </c>
      <c r="B1" s="9">
        <v>1</v>
      </c>
      <c r="C1" s="9">
        <v>1</v>
      </c>
      <c r="D1" s="9">
        <v>1</v>
      </c>
      <c r="E1" s="9">
        <v>1</v>
      </c>
      <c r="F1" s="9">
        <v>1</v>
      </c>
      <c r="G1" s="9">
        <v>1</v>
      </c>
      <c r="H1" s="9">
        <v>1</v>
      </c>
      <c r="I1" s="9">
        <v>1</v>
      </c>
      <c r="J1" s="9">
        <v>1</v>
      </c>
      <c r="K1" s="9">
        <v>1</v>
      </c>
      <c r="L1" s="9">
        <v>1</v>
      </c>
      <c r="M1" s="9">
        <v>2</v>
      </c>
      <c r="N1" s="9">
        <v>2</v>
      </c>
      <c r="O1" s="9">
        <v>2</v>
      </c>
      <c r="P1" s="9">
        <v>2</v>
      </c>
      <c r="Q1" s="9">
        <v>3</v>
      </c>
      <c r="R1" s="13">
        <v>3</v>
      </c>
      <c r="S1" s="13">
        <v>3</v>
      </c>
      <c r="T1" s="13">
        <v>3</v>
      </c>
      <c r="U1" s="13">
        <v>3</v>
      </c>
      <c r="V1" s="13">
        <v>3</v>
      </c>
      <c r="W1" s="13">
        <v>3</v>
      </c>
      <c r="X1" s="13">
        <v>3</v>
      </c>
      <c r="Y1" s="13">
        <v>3</v>
      </c>
      <c r="Z1" s="13">
        <v>3</v>
      </c>
      <c r="AA1" s="9">
        <v>4</v>
      </c>
      <c r="AB1" s="9">
        <v>4</v>
      </c>
      <c r="AC1" s="9">
        <v>4</v>
      </c>
      <c r="AD1" s="9">
        <v>4</v>
      </c>
      <c r="AE1" s="9">
        <v>4</v>
      </c>
      <c r="AF1" s="9">
        <v>4</v>
      </c>
      <c r="AG1" s="9">
        <v>4</v>
      </c>
      <c r="AH1" s="9">
        <v>4</v>
      </c>
      <c r="AI1" s="9">
        <v>4</v>
      </c>
      <c r="AJ1" s="9">
        <v>4</v>
      </c>
      <c r="AK1" s="9">
        <v>4</v>
      </c>
      <c r="AL1" s="9">
        <v>5</v>
      </c>
      <c r="AM1" s="9">
        <v>5</v>
      </c>
      <c r="AN1" s="9">
        <v>5</v>
      </c>
      <c r="AO1" s="9">
        <v>5</v>
      </c>
      <c r="AP1" s="9">
        <v>6</v>
      </c>
      <c r="AQ1" s="9">
        <v>6</v>
      </c>
      <c r="AR1" s="9">
        <v>6</v>
      </c>
      <c r="AS1" s="9">
        <v>6</v>
      </c>
      <c r="AT1" s="9">
        <v>6</v>
      </c>
      <c r="AU1" s="9">
        <v>6</v>
      </c>
      <c r="AV1" s="9">
        <v>6</v>
      </c>
      <c r="AW1" s="9">
        <v>6</v>
      </c>
      <c r="AX1" s="9">
        <v>6</v>
      </c>
      <c r="AY1" s="9">
        <v>6</v>
      </c>
      <c r="AZ1" s="9">
        <v>6</v>
      </c>
      <c r="BA1" s="9">
        <v>7</v>
      </c>
      <c r="BB1" s="9">
        <v>7</v>
      </c>
      <c r="BC1" s="9">
        <v>7</v>
      </c>
      <c r="BD1" s="9">
        <v>7</v>
      </c>
      <c r="BE1" s="9">
        <v>7</v>
      </c>
      <c r="BF1" s="9">
        <v>7</v>
      </c>
      <c r="BG1" s="9">
        <v>7</v>
      </c>
      <c r="BH1" s="9">
        <v>7</v>
      </c>
      <c r="BI1" s="9">
        <v>7</v>
      </c>
      <c r="BJ1" s="9">
        <v>7</v>
      </c>
      <c r="BK1" s="9">
        <v>7</v>
      </c>
      <c r="BL1" s="9">
        <v>8</v>
      </c>
      <c r="BM1" s="9">
        <v>8</v>
      </c>
      <c r="BN1" s="9">
        <v>8</v>
      </c>
      <c r="BO1" s="9">
        <v>8</v>
      </c>
      <c r="BP1" s="9">
        <v>9</v>
      </c>
      <c r="BQ1" s="9">
        <v>9</v>
      </c>
      <c r="BR1" s="9">
        <v>9</v>
      </c>
      <c r="BS1" s="9">
        <v>9</v>
      </c>
      <c r="BT1" s="9">
        <v>9</v>
      </c>
      <c r="BU1" s="9">
        <v>9</v>
      </c>
      <c r="BV1" s="9">
        <v>9</v>
      </c>
      <c r="BW1" s="9">
        <v>9</v>
      </c>
      <c r="BX1" s="9">
        <v>9</v>
      </c>
      <c r="BY1" s="9">
        <v>9</v>
      </c>
      <c r="BZ1" s="9">
        <v>9</v>
      </c>
    </row>
    <row r="2" spans="1:78" s="11" customFormat="1" ht="17" thickBot="1">
      <c r="A2" s="10" t="s">
        <v>18</v>
      </c>
      <c r="B2" s="11">
        <v>-2</v>
      </c>
      <c r="C2" s="11">
        <v>0</v>
      </c>
      <c r="D2" s="11">
        <v>1</v>
      </c>
      <c r="E2" s="11">
        <v>2</v>
      </c>
      <c r="F2" s="11">
        <v>3</v>
      </c>
      <c r="G2" s="11">
        <v>4</v>
      </c>
      <c r="H2" s="11">
        <v>5</v>
      </c>
      <c r="I2" s="11">
        <v>7</v>
      </c>
      <c r="J2" s="11">
        <v>10</v>
      </c>
      <c r="K2" s="11">
        <v>14</v>
      </c>
      <c r="L2" s="11">
        <v>21</v>
      </c>
      <c r="M2" s="11">
        <v>1</v>
      </c>
      <c r="N2" s="11">
        <v>3</v>
      </c>
      <c r="O2" s="11">
        <v>7</v>
      </c>
      <c r="P2" s="11">
        <v>14</v>
      </c>
      <c r="Q2" s="11">
        <v>-2</v>
      </c>
      <c r="R2" s="14">
        <v>0</v>
      </c>
      <c r="S2" s="14">
        <v>1</v>
      </c>
      <c r="T2" s="14">
        <v>2</v>
      </c>
      <c r="U2" s="14">
        <v>3</v>
      </c>
      <c r="V2" s="14">
        <v>4</v>
      </c>
      <c r="W2" s="14">
        <v>5</v>
      </c>
      <c r="X2" s="14">
        <v>10</v>
      </c>
      <c r="Y2" s="14">
        <v>14</v>
      </c>
      <c r="Z2" s="14">
        <v>21</v>
      </c>
      <c r="AA2" s="11">
        <v>-2</v>
      </c>
      <c r="AB2" s="11">
        <v>0</v>
      </c>
      <c r="AC2" s="11">
        <v>1</v>
      </c>
      <c r="AD2" s="11">
        <v>2</v>
      </c>
      <c r="AE2" s="11">
        <v>3</v>
      </c>
      <c r="AF2" s="11">
        <v>4</v>
      </c>
      <c r="AG2" s="11">
        <v>5</v>
      </c>
      <c r="AH2" s="11">
        <v>7</v>
      </c>
      <c r="AI2" s="11">
        <v>10</v>
      </c>
      <c r="AJ2" s="11">
        <v>14</v>
      </c>
      <c r="AK2" s="11">
        <v>21</v>
      </c>
      <c r="AL2" s="11">
        <v>1</v>
      </c>
      <c r="AM2" s="11">
        <v>3</v>
      </c>
      <c r="AN2" s="11">
        <v>7</v>
      </c>
      <c r="AO2" s="11">
        <v>14</v>
      </c>
      <c r="AP2" s="11">
        <v>-2</v>
      </c>
      <c r="AQ2" s="11">
        <v>0</v>
      </c>
      <c r="AR2" s="11">
        <v>1</v>
      </c>
      <c r="AS2" s="11">
        <v>2</v>
      </c>
      <c r="AT2" s="11">
        <v>3</v>
      </c>
      <c r="AU2" s="11">
        <v>4</v>
      </c>
      <c r="AV2" s="11">
        <v>5</v>
      </c>
      <c r="AW2" s="11">
        <v>7</v>
      </c>
      <c r="AX2" s="11">
        <v>10</v>
      </c>
      <c r="AY2" s="11">
        <v>14</v>
      </c>
      <c r="AZ2" s="11">
        <v>21</v>
      </c>
      <c r="BA2" s="11">
        <v>-2</v>
      </c>
      <c r="BB2" s="11">
        <v>0</v>
      </c>
      <c r="BC2" s="11">
        <v>1</v>
      </c>
      <c r="BD2" s="11">
        <v>2</v>
      </c>
      <c r="BE2" s="11">
        <v>3</v>
      </c>
      <c r="BF2" s="11">
        <v>4</v>
      </c>
      <c r="BG2" s="11">
        <v>5</v>
      </c>
      <c r="BH2" s="11">
        <v>7</v>
      </c>
      <c r="BI2" s="11">
        <v>10</v>
      </c>
      <c r="BJ2" s="11">
        <v>14</v>
      </c>
      <c r="BK2" s="11">
        <v>21</v>
      </c>
      <c r="BL2" s="11">
        <v>1</v>
      </c>
      <c r="BM2" s="11">
        <v>3</v>
      </c>
      <c r="BN2" s="11">
        <v>7</v>
      </c>
      <c r="BO2" s="11">
        <v>14</v>
      </c>
      <c r="BP2" s="11">
        <v>-2</v>
      </c>
      <c r="BQ2" s="11">
        <v>0</v>
      </c>
      <c r="BR2" s="11">
        <v>1</v>
      </c>
      <c r="BS2" s="11">
        <v>2</v>
      </c>
      <c r="BT2" s="11">
        <v>3</v>
      </c>
      <c r="BU2" s="11">
        <v>4</v>
      </c>
      <c r="BV2" s="11">
        <v>5</v>
      </c>
      <c r="BW2" s="11">
        <v>7</v>
      </c>
      <c r="BX2" s="11">
        <v>10</v>
      </c>
      <c r="BY2" s="11">
        <v>14</v>
      </c>
      <c r="BZ2" s="11">
        <v>21</v>
      </c>
    </row>
    <row r="3" spans="1:78">
      <c r="A3" s="3" t="s">
        <v>0</v>
      </c>
      <c r="B3">
        <v>5.2590000000000003</v>
      </c>
      <c r="C3">
        <v>-0.73919000000000001</v>
      </c>
      <c r="D3">
        <v>2.5085999999999999</v>
      </c>
      <c r="E3">
        <v>-2.4750999999999999</v>
      </c>
      <c r="F3">
        <v>-0.58042000000000005</v>
      </c>
      <c r="G3">
        <v>-0.52380000000000004</v>
      </c>
      <c r="H3">
        <v>0.59652000000000005</v>
      </c>
      <c r="I3">
        <v>7.1819999999999995E-2</v>
      </c>
      <c r="J3">
        <v>-1.2967</v>
      </c>
      <c r="K3">
        <v>0.21909999999999999</v>
      </c>
      <c r="L3">
        <v>-0.34909000000000001</v>
      </c>
      <c r="M3">
        <v>0</v>
      </c>
      <c r="N3">
        <v>0</v>
      </c>
      <c r="O3">
        <v>0</v>
      </c>
      <c r="P3">
        <v>0</v>
      </c>
      <c r="Q3">
        <v>6.1901000000000002</v>
      </c>
      <c r="R3">
        <v>4.5565000000000001E-2</v>
      </c>
      <c r="S3">
        <v>-4.3986000000000001</v>
      </c>
      <c r="T3">
        <v>0.88100999999999996</v>
      </c>
      <c r="U3">
        <v>0.60258</v>
      </c>
      <c r="V3">
        <v>0.75963999999999998</v>
      </c>
      <c r="W3">
        <v>0.30712</v>
      </c>
      <c r="X3">
        <v>0.12469</v>
      </c>
      <c r="Y3">
        <v>-5.0105999999999998E-2</v>
      </c>
      <c r="Z3">
        <v>6.4840999999999996E-3</v>
      </c>
      <c r="AA3">
        <v>4.7954999999999997</v>
      </c>
      <c r="AB3">
        <v>-0.31225999999999998</v>
      </c>
      <c r="AC3">
        <v>-0.88024000000000002</v>
      </c>
      <c r="AD3">
        <v>0.91513999999999995</v>
      </c>
      <c r="AE3">
        <v>-3.3113999999999999</v>
      </c>
      <c r="AF3">
        <v>2.7681</v>
      </c>
      <c r="AG3">
        <v>0.20521</v>
      </c>
      <c r="AH3">
        <v>-4.2820999999999996E-3</v>
      </c>
      <c r="AI3">
        <v>-0.45957999999999999</v>
      </c>
      <c r="AJ3">
        <v>-0.42681999999999998</v>
      </c>
      <c r="AK3">
        <v>2.5375999999999999E-2</v>
      </c>
      <c r="AL3">
        <v>-1.8200000000000001E-2</v>
      </c>
      <c r="AM3">
        <v>-6.2014E-2</v>
      </c>
      <c r="AN3">
        <v>9.0660000000000004E-2</v>
      </c>
      <c r="AO3">
        <v>-7.1767999999999998E-2</v>
      </c>
      <c r="AP3">
        <v>0.69364999999999999</v>
      </c>
      <c r="AQ3">
        <v>0.94277999999999995</v>
      </c>
      <c r="AR3">
        <v>-1.6261000000000001</v>
      </c>
      <c r="AS3">
        <v>-0.53513999999999995</v>
      </c>
      <c r="AT3">
        <v>2.8948</v>
      </c>
      <c r="AU3">
        <v>-1.2824</v>
      </c>
      <c r="AV3">
        <v>7.5374999999999998E-2</v>
      </c>
      <c r="AW3">
        <v>0.30193999999999999</v>
      </c>
      <c r="AX3">
        <v>-0.19123000000000001</v>
      </c>
      <c r="AY3">
        <v>0.13838</v>
      </c>
      <c r="AZ3">
        <v>-0.15615000000000001</v>
      </c>
      <c r="BA3">
        <v>2.9523999999999999</v>
      </c>
      <c r="BB3">
        <v>-1.012</v>
      </c>
      <c r="BC3">
        <v>-0.49458999999999997</v>
      </c>
      <c r="BD3">
        <v>-1.3128</v>
      </c>
      <c r="BE3">
        <v>9.7333000000000003E-2</v>
      </c>
      <c r="BF3">
        <v>1.3022</v>
      </c>
      <c r="BG3">
        <v>0.46938999999999997</v>
      </c>
      <c r="BH3">
        <v>-3.4703999999999999E-2</v>
      </c>
      <c r="BI3">
        <v>-0.84714999999999996</v>
      </c>
      <c r="BJ3">
        <v>5.4940000000000003E-2</v>
      </c>
      <c r="BK3">
        <v>-0.38035000000000002</v>
      </c>
      <c r="BL3">
        <v>0</v>
      </c>
      <c r="BM3">
        <v>0</v>
      </c>
      <c r="BN3">
        <v>0</v>
      </c>
      <c r="BO3">
        <v>0</v>
      </c>
      <c r="BP3">
        <v>3.9668000000000001</v>
      </c>
      <c r="BQ3">
        <v>1.379</v>
      </c>
      <c r="BR3">
        <v>-4.3468999999999998</v>
      </c>
      <c r="BS3">
        <v>-0.55154000000000003</v>
      </c>
      <c r="BT3">
        <v>4.5320999999999998</v>
      </c>
      <c r="BU3">
        <v>-1.0508E-2</v>
      </c>
      <c r="BV3">
        <v>0.14982999999999999</v>
      </c>
      <c r="BW3">
        <v>0.27131</v>
      </c>
      <c r="BX3">
        <v>-0.2747</v>
      </c>
      <c r="BY3">
        <v>4.9030999999999996E-3</v>
      </c>
      <c r="BZ3">
        <v>7.8334000000000001E-2</v>
      </c>
    </row>
    <row r="4" spans="1:78">
      <c r="A4" s="2" t="s">
        <v>1</v>
      </c>
      <c r="B4">
        <v>-1.5365</v>
      </c>
      <c r="C4">
        <v>5.1955999999999998</v>
      </c>
      <c r="D4">
        <v>-0.42460999999999999</v>
      </c>
      <c r="E4">
        <v>6.226</v>
      </c>
      <c r="F4">
        <v>8.2480999999999999E-2</v>
      </c>
      <c r="G4">
        <v>-3.0855000000000001</v>
      </c>
      <c r="H4">
        <v>-3.8938E-2</v>
      </c>
      <c r="I4">
        <v>0.13425999999999999</v>
      </c>
      <c r="J4">
        <v>-0.88953000000000004</v>
      </c>
      <c r="K4">
        <v>0.17985999999999999</v>
      </c>
      <c r="L4">
        <v>-0.13031999999999999</v>
      </c>
      <c r="M4">
        <v>0.29471000000000003</v>
      </c>
      <c r="N4">
        <v>2.2358999999999999E-3</v>
      </c>
      <c r="O4">
        <v>-6.9577E-2</v>
      </c>
      <c r="P4">
        <v>0.11683</v>
      </c>
      <c r="Q4">
        <v>1.3050999999999999</v>
      </c>
      <c r="R4">
        <v>0.52881</v>
      </c>
      <c r="S4">
        <v>-1.4542999999999999</v>
      </c>
      <c r="T4">
        <v>2.8328000000000002</v>
      </c>
      <c r="U4">
        <v>1.208</v>
      </c>
      <c r="V4">
        <v>0.89793000000000001</v>
      </c>
      <c r="W4">
        <v>0.39578000000000002</v>
      </c>
      <c r="X4">
        <v>0.60465000000000002</v>
      </c>
      <c r="Y4">
        <v>-8.1453999999999999E-2</v>
      </c>
      <c r="Z4">
        <v>2.5561E-3</v>
      </c>
      <c r="AA4">
        <v>-1.0256000000000001</v>
      </c>
      <c r="AB4">
        <v>3.1692999999999998</v>
      </c>
      <c r="AC4">
        <v>6.6623000000000001</v>
      </c>
      <c r="AD4">
        <v>5.8567000000000001E-2</v>
      </c>
      <c r="AE4">
        <v>5.9027999999999997E-2</v>
      </c>
      <c r="AF4">
        <v>-2.1760999999999999</v>
      </c>
      <c r="AG4">
        <v>-0.13416</v>
      </c>
      <c r="AH4">
        <v>0.37584000000000001</v>
      </c>
      <c r="AI4">
        <v>-0.10374</v>
      </c>
      <c r="AJ4">
        <v>-0.51585000000000003</v>
      </c>
      <c r="AK4">
        <v>-6.8736000000000005E-2</v>
      </c>
      <c r="AL4">
        <v>-9.5283999999999994E-2</v>
      </c>
      <c r="AM4">
        <v>6.5685999999999994E-2</v>
      </c>
      <c r="AN4">
        <v>0.20069000000000001</v>
      </c>
      <c r="AO4">
        <v>1.2633E-2</v>
      </c>
      <c r="AP4">
        <v>-1.736</v>
      </c>
      <c r="AQ4">
        <v>-3.5289999999999999</v>
      </c>
      <c r="AR4">
        <v>3.2391000000000001</v>
      </c>
      <c r="AS4">
        <v>-0.22086</v>
      </c>
      <c r="AT4">
        <v>3.1745000000000001</v>
      </c>
      <c r="AU4">
        <v>-0.67418</v>
      </c>
      <c r="AV4">
        <v>0.59233000000000002</v>
      </c>
      <c r="AW4">
        <v>0.64419000000000004</v>
      </c>
      <c r="AX4">
        <v>-2.5856000000000001E-2</v>
      </c>
      <c r="AY4">
        <v>3.3734E-2</v>
      </c>
      <c r="AZ4">
        <v>-0.17030999999999999</v>
      </c>
      <c r="BA4">
        <v>6.8013000000000004E-2</v>
      </c>
      <c r="BB4">
        <v>-0.95454000000000006</v>
      </c>
      <c r="BC4">
        <v>7.8049999999999997</v>
      </c>
      <c r="BD4">
        <v>0.79864999999999997</v>
      </c>
      <c r="BE4">
        <v>1.1174999999999999</v>
      </c>
      <c r="BF4">
        <v>-2.3365</v>
      </c>
      <c r="BG4">
        <v>2.5634000000000001E-2</v>
      </c>
      <c r="BH4">
        <v>0.33811000000000002</v>
      </c>
      <c r="BI4">
        <v>-0.43314999999999998</v>
      </c>
      <c r="BJ4">
        <v>-9.4865000000000005E-2</v>
      </c>
      <c r="BK4">
        <v>-0.40311999999999998</v>
      </c>
      <c r="BL4">
        <v>0.26162000000000002</v>
      </c>
      <c r="BM4">
        <v>3.1335000000000002E-2</v>
      </c>
      <c r="BN4">
        <v>0.14169999999999999</v>
      </c>
      <c r="BO4">
        <v>0.24956</v>
      </c>
      <c r="BP4">
        <v>-2.3925000000000001</v>
      </c>
      <c r="BQ4">
        <v>1.1228</v>
      </c>
      <c r="BR4">
        <v>1.0418000000000001</v>
      </c>
      <c r="BS4">
        <v>0.90580000000000005</v>
      </c>
      <c r="BT4">
        <v>4.3796999999999997</v>
      </c>
      <c r="BU4">
        <v>-0.42277999999999999</v>
      </c>
      <c r="BV4">
        <v>2.8656000000000001E-2</v>
      </c>
      <c r="BW4">
        <v>1.115</v>
      </c>
      <c r="BX4">
        <v>-0.16886999999999999</v>
      </c>
      <c r="BY4">
        <v>0.13342999999999999</v>
      </c>
      <c r="BZ4">
        <v>2.7393000000000001E-2</v>
      </c>
    </row>
    <row r="5" spans="1:78">
      <c r="A5" s="2" t="s">
        <v>2</v>
      </c>
      <c r="B5">
        <v>-3.1572</v>
      </c>
      <c r="C5">
        <v>-0.26451000000000002</v>
      </c>
      <c r="D5">
        <v>2.9076</v>
      </c>
      <c r="E5">
        <v>-1.0146999999999999</v>
      </c>
      <c r="F5">
        <v>-0.21798000000000001</v>
      </c>
      <c r="G5">
        <v>-1.8614999999999999</v>
      </c>
      <c r="H5">
        <v>5.8401000000000002E-2</v>
      </c>
      <c r="I5">
        <v>0.14921000000000001</v>
      </c>
      <c r="J5">
        <v>-0.82216</v>
      </c>
      <c r="K5">
        <v>0.12009</v>
      </c>
      <c r="L5">
        <v>-0.16003999999999999</v>
      </c>
      <c r="M5">
        <v>4.2622E-2</v>
      </c>
      <c r="N5">
        <v>-9.8673000000000007E-3</v>
      </c>
      <c r="O5">
        <v>-1.9647999999999999E-2</v>
      </c>
      <c r="P5">
        <v>0.17882000000000001</v>
      </c>
      <c r="Q5">
        <v>-1.1302000000000001</v>
      </c>
      <c r="R5">
        <v>0.17080999999999999</v>
      </c>
      <c r="S5">
        <v>-4.0191999999999997</v>
      </c>
      <c r="T5">
        <v>0.64415</v>
      </c>
      <c r="U5">
        <v>1.4182999999999999</v>
      </c>
      <c r="V5">
        <v>9.8891999999999994E-2</v>
      </c>
      <c r="W5">
        <v>0.31694</v>
      </c>
      <c r="X5">
        <v>0.26317000000000002</v>
      </c>
      <c r="Y5">
        <v>3.5785999999999999E-3</v>
      </c>
      <c r="Z5">
        <v>-0.12071999999999999</v>
      </c>
      <c r="AA5">
        <v>-2.8591000000000002</v>
      </c>
      <c r="AB5">
        <v>-0.18944</v>
      </c>
      <c r="AC5">
        <v>1.2785</v>
      </c>
      <c r="AD5">
        <v>0.82870999999999995</v>
      </c>
      <c r="AE5">
        <v>-0.85785</v>
      </c>
      <c r="AF5">
        <v>-1.1357999999999999</v>
      </c>
      <c r="AG5">
        <v>6.7371E-2</v>
      </c>
      <c r="AH5">
        <v>0.21234</v>
      </c>
      <c r="AI5">
        <v>-0.21482999999999999</v>
      </c>
      <c r="AJ5">
        <v>-0.30159000000000002</v>
      </c>
      <c r="AK5">
        <v>-0.25679000000000002</v>
      </c>
      <c r="AL5">
        <v>-0.15029000000000001</v>
      </c>
      <c r="AM5">
        <v>-3.9949999999999999E-2</v>
      </c>
      <c r="AN5">
        <v>2.5831E-2</v>
      </c>
      <c r="AO5">
        <v>-4.0335000000000003E-2</v>
      </c>
      <c r="AP5">
        <v>-4.4169999999999998</v>
      </c>
      <c r="AQ5">
        <v>0.46876000000000001</v>
      </c>
      <c r="AR5">
        <v>-1.4555</v>
      </c>
      <c r="AS5">
        <v>-0.73480000000000001</v>
      </c>
      <c r="AT5">
        <v>3.0937999999999999</v>
      </c>
      <c r="AU5">
        <v>-1.2771999999999999</v>
      </c>
      <c r="AV5">
        <v>5.4169000000000002E-2</v>
      </c>
      <c r="AW5">
        <v>0.51082000000000005</v>
      </c>
      <c r="AX5">
        <v>-0.17852000000000001</v>
      </c>
      <c r="AY5">
        <v>5.0958000000000003E-2</v>
      </c>
      <c r="AZ5">
        <v>5.2248000000000003E-2</v>
      </c>
      <c r="BA5">
        <v>-3.1665999999999999</v>
      </c>
      <c r="BB5">
        <v>-1.204</v>
      </c>
      <c r="BC5">
        <v>2.7528000000000001</v>
      </c>
      <c r="BD5">
        <v>-1.2912999999999999</v>
      </c>
      <c r="BE5">
        <v>0.74790000000000001</v>
      </c>
      <c r="BF5">
        <v>-1.3443000000000001</v>
      </c>
      <c r="BG5">
        <v>-6.8971000000000005E-2</v>
      </c>
      <c r="BH5">
        <v>0.21944</v>
      </c>
      <c r="BI5">
        <v>-0.48527999999999999</v>
      </c>
      <c r="BJ5">
        <v>-1.5525000000000001E-2</v>
      </c>
      <c r="BK5">
        <v>-0.48076999999999998</v>
      </c>
      <c r="BL5">
        <v>0.35258</v>
      </c>
      <c r="BM5">
        <v>-0.18398</v>
      </c>
      <c r="BN5">
        <v>-5.9119999999999999E-2</v>
      </c>
      <c r="BO5">
        <v>0.20438000000000001</v>
      </c>
      <c r="BP5">
        <v>-4.6117999999999997</v>
      </c>
      <c r="BQ5">
        <v>1.1251</v>
      </c>
      <c r="BR5">
        <v>-3.3965000000000001</v>
      </c>
      <c r="BS5">
        <v>0.28675</v>
      </c>
      <c r="BT5">
        <v>3.6305000000000001</v>
      </c>
      <c r="BU5">
        <v>0.32641999999999999</v>
      </c>
      <c r="BV5">
        <v>-0.41386000000000001</v>
      </c>
      <c r="BW5">
        <v>0.42453999999999997</v>
      </c>
      <c r="BX5">
        <v>-0.11556</v>
      </c>
      <c r="BY5">
        <v>9.8197999999999994E-2</v>
      </c>
      <c r="BZ5">
        <v>-2.3255000000000001E-2</v>
      </c>
    </row>
    <row r="6" spans="1:78">
      <c r="A6" s="3" t="s">
        <v>3</v>
      </c>
      <c r="B6">
        <v>-0.72794000000000003</v>
      </c>
      <c r="C6">
        <v>0.42863000000000001</v>
      </c>
      <c r="D6">
        <v>2.1732999999999998</v>
      </c>
      <c r="E6">
        <v>-1.0146999999999999</v>
      </c>
      <c r="F6">
        <v>-0.21801000000000001</v>
      </c>
      <c r="G6">
        <v>2.8523999999999998</v>
      </c>
      <c r="H6">
        <v>0.81096999999999997</v>
      </c>
      <c r="I6">
        <v>0.21998000000000001</v>
      </c>
      <c r="J6">
        <v>-0.61590999999999996</v>
      </c>
      <c r="K6">
        <v>0.11892999999999999</v>
      </c>
      <c r="L6">
        <v>-0.13691999999999999</v>
      </c>
      <c r="M6">
        <v>-0.18781</v>
      </c>
      <c r="N6">
        <v>0.86916000000000004</v>
      </c>
      <c r="O6">
        <v>-0.78502000000000005</v>
      </c>
      <c r="P6">
        <v>0.14055000000000001</v>
      </c>
      <c r="Q6">
        <v>0.91400999999999999</v>
      </c>
      <c r="R6">
        <v>0.17077000000000001</v>
      </c>
      <c r="S6">
        <v>-3.2845</v>
      </c>
      <c r="T6">
        <v>1.3372999999999999</v>
      </c>
      <c r="U6">
        <v>2.9224000000000001</v>
      </c>
      <c r="V6">
        <v>-2.8330000000000002</v>
      </c>
      <c r="W6">
        <v>1.5812999999999999</v>
      </c>
      <c r="X6">
        <v>0.18969</v>
      </c>
      <c r="Y6">
        <v>0.18886</v>
      </c>
      <c r="Z6">
        <v>-1.1672</v>
      </c>
      <c r="AA6">
        <v>-0.77737000000000001</v>
      </c>
      <c r="AB6">
        <v>0.86040000000000005</v>
      </c>
      <c r="AC6">
        <v>0.22858999999999999</v>
      </c>
      <c r="AD6">
        <v>0.82870999999999995</v>
      </c>
      <c r="AE6">
        <v>-0.85780999999999996</v>
      </c>
      <c r="AF6">
        <v>3.7643</v>
      </c>
      <c r="AG6">
        <v>0.96325000000000005</v>
      </c>
      <c r="AH6">
        <v>-0.52363000000000004</v>
      </c>
      <c r="AI6">
        <v>0.38168999999999997</v>
      </c>
      <c r="AJ6">
        <v>-0.14252999999999999</v>
      </c>
      <c r="AK6">
        <v>-0.14360000000000001</v>
      </c>
      <c r="AL6">
        <v>0.53110999999999997</v>
      </c>
      <c r="AM6">
        <v>0.29807</v>
      </c>
      <c r="AN6">
        <v>-0.14974000000000001</v>
      </c>
      <c r="AO6">
        <v>0.36142000000000002</v>
      </c>
      <c r="AP6">
        <v>-2.1278000000000001</v>
      </c>
      <c r="AQ6">
        <v>-0.62880999999999998</v>
      </c>
      <c r="AR6">
        <v>1.9983</v>
      </c>
      <c r="AS6">
        <v>0.16056999999999999</v>
      </c>
      <c r="AT6">
        <v>-1.1689000000000001</v>
      </c>
      <c r="AU6">
        <v>-1.3635999999999999</v>
      </c>
      <c r="AV6">
        <v>5.4168000000000001E-2</v>
      </c>
      <c r="AW6">
        <v>0.51080999999999999</v>
      </c>
      <c r="AX6">
        <v>-0.17851</v>
      </c>
      <c r="AY6">
        <v>5.0945999999999998E-2</v>
      </c>
      <c r="AZ6">
        <v>1.109</v>
      </c>
      <c r="BA6">
        <v>3.3883999999999997E-2</v>
      </c>
      <c r="BB6">
        <v>-0.95454000000000006</v>
      </c>
      <c r="BC6">
        <v>2.7528000000000001</v>
      </c>
      <c r="BD6">
        <v>-1.2912999999999999</v>
      </c>
      <c r="BE6">
        <v>0.74787999999999999</v>
      </c>
      <c r="BF6">
        <v>-1.3443000000000001</v>
      </c>
      <c r="BG6">
        <v>2.8399000000000001</v>
      </c>
      <c r="BH6">
        <v>-0.49341000000000002</v>
      </c>
      <c r="BI6">
        <v>0.35977999999999999</v>
      </c>
      <c r="BJ6">
        <v>-4.6024000000000002E-2</v>
      </c>
      <c r="BK6">
        <v>-0.34787000000000001</v>
      </c>
      <c r="BL6">
        <v>-0.19652</v>
      </c>
      <c r="BM6">
        <v>0.8508</v>
      </c>
      <c r="BN6">
        <v>-0.24340999999999999</v>
      </c>
      <c r="BO6">
        <v>8.2758999999999999E-2</v>
      </c>
      <c r="BP6">
        <v>-1.7567999999999999</v>
      </c>
      <c r="BQ6">
        <v>1.1257999999999999</v>
      </c>
      <c r="BR6">
        <v>-0.67430000000000001</v>
      </c>
      <c r="BS6">
        <v>-9.9620000000000004E-4</v>
      </c>
      <c r="BT6">
        <v>2.5318999999999998</v>
      </c>
      <c r="BU6">
        <v>-1.0093000000000001</v>
      </c>
      <c r="BV6">
        <v>-0.41366999999999998</v>
      </c>
      <c r="BW6">
        <v>2.0249000000000001</v>
      </c>
      <c r="BX6">
        <v>-1.3158000000000001</v>
      </c>
      <c r="BY6">
        <v>1.3284</v>
      </c>
      <c r="BZ6">
        <v>-1.2536</v>
      </c>
    </row>
    <row r="7" spans="1:78" ht="17" thickBot="1">
      <c r="A7" s="3" t="s">
        <v>4</v>
      </c>
      <c r="B7">
        <v>-3.7787000000000002</v>
      </c>
      <c r="C7">
        <v>-0.26451999999999998</v>
      </c>
      <c r="D7">
        <v>2.9076</v>
      </c>
      <c r="E7">
        <v>-1.0146999999999999</v>
      </c>
      <c r="F7">
        <v>-0.218</v>
      </c>
      <c r="G7">
        <v>-1.8614999999999999</v>
      </c>
      <c r="H7">
        <v>5.8389000000000003E-2</v>
      </c>
      <c r="I7">
        <v>0.14921000000000001</v>
      </c>
      <c r="J7">
        <v>-0.82213999999999998</v>
      </c>
      <c r="K7">
        <v>0.12009</v>
      </c>
      <c r="L7">
        <v>-0.16005</v>
      </c>
      <c r="M7">
        <v>-0.37866</v>
      </c>
      <c r="N7">
        <v>0.10439</v>
      </c>
      <c r="O7">
        <v>-0.11416999999999999</v>
      </c>
      <c r="P7">
        <v>-4.3853000000000003E-2</v>
      </c>
      <c r="Q7">
        <v>-0.93140999999999996</v>
      </c>
      <c r="R7">
        <v>-0.43214000000000002</v>
      </c>
      <c r="S7">
        <v>-1.8069</v>
      </c>
      <c r="T7">
        <v>0.42107</v>
      </c>
      <c r="U7">
        <v>-0.57089999999999996</v>
      </c>
      <c r="V7">
        <v>9.8905000000000007E-2</v>
      </c>
      <c r="W7">
        <v>0.43751000000000001</v>
      </c>
      <c r="X7">
        <v>0.11243</v>
      </c>
      <c r="Y7">
        <v>3.5815999999999999E-3</v>
      </c>
      <c r="Z7">
        <v>-0.12068</v>
      </c>
      <c r="AA7">
        <v>-3.7629000000000001</v>
      </c>
      <c r="AB7">
        <v>-0.18937000000000001</v>
      </c>
      <c r="AC7">
        <v>1.2790999999999999</v>
      </c>
      <c r="AD7">
        <v>0.82881000000000005</v>
      </c>
      <c r="AE7">
        <v>-0.85748000000000002</v>
      </c>
      <c r="AF7">
        <v>-1.1369</v>
      </c>
      <c r="AG7">
        <v>6.7663000000000001E-2</v>
      </c>
      <c r="AH7">
        <v>0.21237</v>
      </c>
      <c r="AI7">
        <v>-0.21482000000000001</v>
      </c>
      <c r="AJ7">
        <v>-0.30158000000000001</v>
      </c>
      <c r="AK7">
        <v>-0.25689000000000001</v>
      </c>
      <c r="AL7">
        <v>0.13378999999999999</v>
      </c>
      <c r="AM7">
        <v>-0.159</v>
      </c>
      <c r="AN7">
        <v>-2.3695999999999998E-2</v>
      </c>
      <c r="AO7">
        <v>0.13952000000000001</v>
      </c>
      <c r="AP7">
        <v>-2.4357000000000002</v>
      </c>
      <c r="AQ7">
        <v>1.0677000000000001</v>
      </c>
      <c r="AR7">
        <v>-1.4560999999999999</v>
      </c>
      <c r="AS7">
        <v>2.9157999999999999</v>
      </c>
      <c r="AT7">
        <v>-0.55676000000000003</v>
      </c>
      <c r="AU7">
        <v>-1.2771999999999999</v>
      </c>
      <c r="AV7">
        <v>5.4545000000000003E-2</v>
      </c>
      <c r="AW7">
        <v>1.1592</v>
      </c>
      <c r="AX7">
        <v>-0.66471000000000002</v>
      </c>
      <c r="AY7">
        <v>5.0990000000000001E-2</v>
      </c>
      <c r="AZ7">
        <v>5.2135000000000001E-2</v>
      </c>
      <c r="BA7">
        <v>-2.1042000000000001</v>
      </c>
      <c r="BB7">
        <v>-0.95286000000000004</v>
      </c>
      <c r="BC7">
        <v>2.7519999999999998</v>
      </c>
      <c r="BD7">
        <v>-1.2905</v>
      </c>
      <c r="BE7">
        <v>0.74648000000000003</v>
      </c>
      <c r="BF7">
        <v>-1.3431999999999999</v>
      </c>
      <c r="BG7">
        <v>-6.9068000000000004E-2</v>
      </c>
      <c r="BH7">
        <v>0.21936</v>
      </c>
      <c r="BI7">
        <v>-0.48543999999999998</v>
      </c>
      <c r="BJ7">
        <v>-1.5409000000000001E-2</v>
      </c>
      <c r="BK7">
        <v>-0.48059000000000002</v>
      </c>
      <c r="BL7">
        <v>0.13808999999999999</v>
      </c>
      <c r="BM7">
        <v>-0.10921</v>
      </c>
      <c r="BN7">
        <v>-7.2556000000000001E-3</v>
      </c>
      <c r="BO7">
        <v>0.14432</v>
      </c>
      <c r="BP7">
        <v>-4.4356</v>
      </c>
      <c r="BQ7">
        <v>1.1251</v>
      </c>
      <c r="BR7">
        <v>-2.9719000000000002</v>
      </c>
      <c r="BS7">
        <v>1.3853</v>
      </c>
      <c r="BT7">
        <v>2.1074000000000002</v>
      </c>
      <c r="BU7">
        <v>0.32643</v>
      </c>
      <c r="BV7">
        <v>-0.41383999999999999</v>
      </c>
      <c r="BW7">
        <v>0.42453000000000002</v>
      </c>
      <c r="BX7">
        <v>-0.11556</v>
      </c>
      <c r="BY7">
        <v>9.8191000000000001E-2</v>
      </c>
      <c r="BZ7">
        <v>-2.3244000000000001E-2</v>
      </c>
    </row>
    <row r="8" spans="1:78" s="9" customFormat="1" ht="17" thickBot="1">
      <c r="A8" s="8" t="s">
        <v>5</v>
      </c>
      <c r="B8" s="9">
        <v>-2.5613999999999999</v>
      </c>
      <c r="C8" s="9">
        <v>5.5694999999999997</v>
      </c>
      <c r="D8" s="9">
        <v>-1.6976</v>
      </c>
      <c r="E8" s="9">
        <v>3.9792000000000001</v>
      </c>
      <c r="F8" s="9">
        <v>-0.48448000000000002</v>
      </c>
      <c r="G8" s="9">
        <v>-9.2135999999999996E-2</v>
      </c>
      <c r="H8" s="9">
        <v>-3.8043999999999998</v>
      </c>
      <c r="I8" s="9">
        <v>0.14921000000000001</v>
      </c>
      <c r="J8" s="9">
        <v>-0.82215000000000005</v>
      </c>
      <c r="K8" s="9">
        <v>0.12009</v>
      </c>
      <c r="L8" s="9">
        <v>-0.16003999999999999</v>
      </c>
      <c r="M8" s="9">
        <v>0</v>
      </c>
      <c r="N8" s="9">
        <v>0</v>
      </c>
      <c r="O8" s="9">
        <v>0</v>
      </c>
      <c r="P8" s="9">
        <v>0</v>
      </c>
      <c r="Q8" s="9">
        <v>0.84275999999999995</v>
      </c>
      <c r="R8" s="15">
        <v>0.17005000000000001</v>
      </c>
      <c r="S8" s="15">
        <v>-1.3494999999999999</v>
      </c>
      <c r="T8" s="15">
        <v>-4.8992000000000001E-2</v>
      </c>
      <c r="U8" s="15">
        <v>3.0276999999999998</v>
      </c>
      <c r="V8" s="15">
        <v>-1.5105</v>
      </c>
      <c r="W8" s="15">
        <v>-7.8493999999999994E-2</v>
      </c>
      <c r="X8" s="15">
        <v>0.26350000000000001</v>
      </c>
      <c r="Y8" s="15">
        <v>3.6116E-3</v>
      </c>
      <c r="Z8" s="15">
        <v>-0.12046</v>
      </c>
      <c r="AA8" s="9">
        <v>-1.1216999999999999</v>
      </c>
      <c r="AB8" s="9">
        <v>-0.18928</v>
      </c>
      <c r="AC8" s="9">
        <v>1.2782</v>
      </c>
      <c r="AD8" s="9">
        <v>9.1402000000000001</v>
      </c>
      <c r="AE8" s="9">
        <v>-0.67420999999999998</v>
      </c>
      <c r="AF8" s="9">
        <v>-0.83374999999999999</v>
      </c>
      <c r="AG8" s="9">
        <v>-4.3311999999999999</v>
      </c>
      <c r="AH8" s="9">
        <v>0.21235999999999999</v>
      </c>
      <c r="AI8" s="9">
        <v>-0.21482999999999999</v>
      </c>
      <c r="AJ8" s="9">
        <v>-0.30159000000000002</v>
      </c>
      <c r="AK8" s="9">
        <v>-0.25681999999999999</v>
      </c>
      <c r="AL8" s="9">
        <v>0</v>
      </c>
      <c r="AM8" s="9">
        <v>0</v>
      </c>
      <c r="AN8" s="9">
        <v>0</v>
      </c>
      <c r="AO8" s="9">
        <v>0</v>
      </c>
      <c r="AP8" s="9">
        <v>-0.61033000000000004</v>
      </c>
      <c r="AQ8" s="9">
        <v>1.0670999999999999</v>
      </c>
      <c r="AR8" s="9">
        <v>-1.1773</v>
      </c>
      <c r="AS8" s="9">
        <v>-4.1647000000000003E-2</v>
      </c>
      <c r="AT8" s="9">
        <v>2.1225000000000001</v>
      </c>
      <c r="AU8" s="9">
        <v>-1.2771999999999999</v>
      </c>
      <c r="AV8" s="9">
        <v>5.4171999999999998E-2</v>
      </c>
      <c r="AW8" s="9">
        <v>1.0656000000000001</v>
      </c>
      <c r="AX8" s="9">
        <v>-0.59460999999999997</v>
      </c>
      <c r="AY8" s="9">
        <v>5.0951000000000003E-2</v>
      </c>
      <c r="AZ8" s="9">
        <v>5.2250999999999999E-2</v>
      </c>
      <c r="BA8" s="9">
        <v>-0.56066000000000005</v>
      </c>
      <c r="BB8" s="9">
        <v>-0.95450000000000002</v>
      </c>
      <c r="BC8" s="9">
        <v>4.4156000000000004</v>
      </c>
      <c r="BD8" s="9">
        <v>4.8578999999999999</v>
      </c>
      <c r="BE8" s="9">
        <v>0.70796999999999999</v>
      </c>
      <c r="BF8" s="9">
        <v>-1.0808</v>
      </c>
      <c r="BG8" s="9">
        <v>-4.0867000000000004</v>
      </c>
      <c r="BH8" s="9">
        <v>0.21944</v>
      </c>
      <c r="BI8" s="9">
        <v>-0.48527999999999999</v>
      </c>
      <c r="BJ8" s="9">
        <v>-1.5524E-2</v>
      </c>
      <c r="BK8" s="9">
        <v>-0.48076999999999998</v>
      </c>
      <c r="BL8" s="9">
        <v>0</v>
      </c>
      <c r="BM8" s="9">
        <v>0</v>
      </c>
      <c r="BN8" s="9">
        <v>0</v>
      </c>
      <c r="BO8" s="9">
        <v>0</v>
      </c>
      <c r="BP8" s="9">
        <v>-0.39541999999999999</v>
      </c>
      <c r="BQ8" s="9">
        <v>1.1252</v>
      </c>
      <c r="BR8" s="9">
        <v>0.55923</v>
      </c>
      <c r="BS8" s="9">
        <v>-0.46356999999999998</v>
      </c>
      <c r="BT8" s="9">
        <v>0.79730000000000001</v>
      </c>
      <c r="BU8" s="9">
        <v>-4.5774000000000002E-2</v>
      </c>
      <c r="BV8" s="9">
        <v>-0.41388000000000003</v>
      </c>
      <c r="BW8" s="9">
        <v>0.42455999999999999</v>
      </c>
      <c r="BX8" s="9">
        <v>-0.11556</v>
      </c>
      <c r="BY8" s="9">
        <v>0.15137</v>
      </c>
      <c r="BZ8" s="9">
        <v>-7.6428999999999997E-2</v>
      </c>
    </row>
    <row r="9" spans="1:78" s="9" customFormat="1" ht="17" thickBot="1">
      <c r="A9" s="8" t="s">
        <v>6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13">
        <v>3.1713</v>
      </c>
      <c r="S9" s="13">
        <v>1.7697000000000001</v>
      </c>
      <c r="T9" s="13">
        <v>-7.0780000000000001E-3</v>
      </c>
      <c r="U9" s="13">
        <v>1.2294</v>
      </c>
      <c r="V9" s="13">
        <v>-0.93122000000000005</v>
      </c>
      <c r="W9" s="13">
        <v>0.15737999999999999</v>
      </c>
      <c r="X9" s="13">
        <v>0.81652999999999998</v>
      </c>
      <c r="Y9" s="13">
        <v>-1.0661E-2</v>
      </c>
      <c r="Z9" s="13">
        <v>6.7473000000000005E-2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>
        <v>0</v>
      </c>
      <c r="AP9" s="9">
        <v>0</v>
      </c>
      <c r="AQ9" s="9">
        <v>5.7191999999999998</v>
      </c>
      <c r="AR9" s="9">
        <v>0.87705</v>
      </c>
      <c r="AS9" s="9">
        <v>-1.1581999999999999</v>
      </c>
      <c r="AT9" s="9">
        <v>1.2341</v>
      </c>
      <c r="AU9" s="9">
        <v>-3.3934000000000002</v>
      </c>
      <c r="AV9" s="9">
        <v>1.431</v>
      </c>
      <c r="AW9" s="9">
        <v>0.90288999999999997</v>
      </c>
      <c r="AX9" s="9">
        <v>0.16095999999999999</v>
      </c>
      <c r="AY9" s="9">
        <v>7.0109999999999999E-3</v>
      </c>
      <c r="AZ9" s="9">
        <v>-4.6274999999999997E-2</v>
      </c>
      <c r="BA9" s="9">
        <v>0</v>
      </c>
      <c r="BB9" s="9">
        <v>0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0</v>
      </c>
      <c r="BI9" s="9">
        <v>0</v>
      </c>
      <c r="BJ9" s="9">
        <v>0</v>
      </c>
      <c r="BK9" s="9">
        <v>0</v>
      </c>
      <c r="BL9" s="9">
        <v>0.37674999999999997</v>
      </c>
      <c r="BM9" s="9">
        <v>-0.18099999999999999</v>
      </c>
      <c r="BN9" s="9">
        <v>-3.2479000000000001E-2</v>
      </c>
      <c r="BO9" s="9">
        <v>0.19164</v>
      </c>
      <c r="BP9" s="9">
        <v>0</v>
      </c>
      <c r="BQ9" s="9">
        <v>3.0247000000000002</v>
      </c>
      <c r="BR9" s="9">
        <v>-3.6196000000000002</v>
      </c>
      <c r="BS9" s="9">
        <v>5.2736999999999998</v>
      </c>
      <c r="BT9" s="9">
        <v>2.3752</v>
      </c>
      <c r="BU9" s="9">
        <v>-0.50111000000000006</v>
      </c>
      <c r="BV9" s="9">
        <v>-1.1138999999999999</v>
      </c>
      <c r="BW9" s="9">
        <v>0.97550999999999999</v>
      </c>
      <c r="BX9" s="9">
        <v>0.64646000000000003</v>
      </c>
      <c r="BY9" s="9">
        <v>-7.3889000000000003E-3</v>
      </c>
      <c r="BZ9" s="9">
        <v>-1.1656E-2</v>
      </c>
    </row>
    <row r="10" spans="1:78">
      <c r="A10" s="3" t="s">
        <v>7</v>
      </c>
      <c r="B10">
        <v>-3.0331000000000001</v>
      </c>
      <c r="C10">
        <v>-0.26472000000000001</v>
      </c>
      <c r="D10">
        <v>2.9076</v>
      </c>
      <c r="E10">
        <v>-1.0146999999999999</v>
      </c>
      <c r="F10">
        <v>-0.21762000000000001</v>
      </c>
      <c r="G10">
        <v>-1.8620000000000001</v>
      </c>
      <c r="H10">
        <v>5.8219E-2</v>
      </c>
      <c r="I10">
        <v>0.14932999999999999</v>
      </c>
      <c r="J10">
        <v>-0.82211000000000001</v>
      </c>
      <c r="K10">
        <v>0.12013</v>
      </c>
      <c r="L10">
        <v>-0.16009999999999999</v>
      </c>
      <c r="M10">
        <v>-0.22861999999999999</v>
      </c>
      <c r="N10">
        <v>0.13566</v>
      </c>
      <c r="O10">
        <v>-9.5463000000000006E-3</v>
      </c>
      <c r="P10">
        <v>7.1443000000000006E-2</v>
      </c>
      <c r="Q10">
        <v>-1.2453000000000001</v>
      </c>
      <c r="R10">
        <v>2.9131</v>
      </c>
      <c r="S10">
        <v>-5.4055</v>
      </c>
      <c r="T10">
        <v>-0.71296000000000004</v>
      </c>
      <c r="U10">
        <v>1.4187000000000001</v>
      </c>
      <c r="V10">
        <v>9.8845000000000002E-2</v>
      </c>
      <c r="W10">
        <v>0.31690000000000002</v>
      </c>
      <c r="X10">
        <v>0.26325999999999999</v>
      </c>
      <c r="Y10">
        <v>3.5523E-3</v>
      </c>
      <c r="Z10">
        <v>-0.12084</v>
      </c>
      <c r="AA10">
        <v>-2.4798</v>
      </c>
      <c r="AB10">
        <v>-0.18942999999999999</v>
      </c>
      <c r="AC10">
        <v>1.2785</v>
      </c>
      <c r="AD10">
        <v>0.82872000000000001</v>
      </c>
      <c r="AE10">
        <v>-0.85787000000000002</v>
      </c>
      <c r="AF10">
        <v>-1.1356999999999999</v>
      </c>
      <c r="AG10">
        <v>6.7360000000000003E-2</v>
      </c>
      <c r="AH10">
        <v>0.21235000000000001</v>
      </c>
      <c r="AI10">
        <v>-0.21482999999999999</v>
      </c>
      <c r="AJ10">
        <v>-0.30158000000000001</v>
      </c>
      <c r="AK10">
        <v>-0.25679000000000002</v>
      </c>
      <c r="AL10">
        <v>-6.6740999999999997E-3</v>
      </c>
      <c r="AM10">
        <v>-0.10885</v>
      </c>
      <c r="AN10">
        <v>4.8217000000000003E-2</v>
      </c>
      <c r="AO10">
        <v>4.1119999999999997E-2</v>
      </c>
      <c r="AP10">
        <v>-0.61029999999999995</v>
      </c>
      <c r="AQ10">
        <v>1.0669999999999999</v>
      </c>
      <c r="AR10">
        <v>-1.4554</v>
      </c>
      <c r="AS10">
        <v>1.6178999999999999</v>
      </c>
      <c r="AT10">
        <v>0.74104999999999999</v>
      </c>
      <c r="AU10">
        <v>-1.2771999999999999</v>
      </c>
      <c r="AV10">
        <v>5.4169000000000002E-2</v>
      </c>
      <c r="AW10">
        <v>0.51082000000000005</v>
      </c>
      <c r="AX10">
        <v>-0.17848</v>
      </c>
      <c r="AY10">
        <v>5.0960999999999999E-2</v>
      </c>
      <c r="AZ10">
        <v>5.2218000000000001E-2</v>
      </c>
      <c r="BA10">
        <v>6.8016999999999994E-2</v>
      </c>
      <c r="BB10">
        <v>-0.95455000000000001</v>
      </c>
      <c r="BC10">
        <v>4.2023000000000001</v>
      </c>
      <c r="BD10">
        <v>-2.7406999999999999</v>
      </c>
      <c r="BE10">
        <v>0.74790999999999996</v>
      </c>
      <c r="BF10">
        <v>-1.3443000000000001</v>
      </c>
      <c r="BG10">
        <v>-6.8959000000000006E-2</v>
      </c>
      <c r="BH10">
        <v>0.21944</v>
      </c>
      <c r="BI10">
        <v>-0.48529</v>
      </c>
      <c r="BJ10">
        <v>-1.5520000000000001E-2</v>
      </c>
      <c r="BK10">
        <v>-0.48076999999999998</v>
      </c>
      <c r="BL10">
        <v>0.18275</v>
      </c>
      <c r="BM10">
        <v>-0.11928999999999999</v>
      </c>
      <c r="BN10">
        <v>-7.3181999999999997E-2</v>
      </c>
      <c r="BO10">
        <v>0.14671999999999999</v>
      </c>
      <c r="BP10">
        <v>-3.786</v>
      </c>
      <c r="BQ10">
        <v>1.125</v>
      </c>
      <c r="BR10">
        <v>-3.3965000000000001</v>
      </c>
      <c r="BS10">
        <v>0.28675</v>
      </c>
      <c r="BT10">
        <v>3.6305000000000001</v>
      </c>
      <c r="BU10">
        <v>0.32643</v>
      </c>
      <c r="BV10">
        <v>-0.41386000000000001</v>
      </c>
      <c r="BW10">
        <v>0.42453999999999997</v>
      </c>
      <c r="BX10">
        <v>-0.11550000000000001</v>
      </c>
      <c r="BY10">
        <v>9.8140000000000005E-2</v>
      </c>
      <c r="BZ10">
        <v>-2.3295E-2</v>
      </c>
    </row>
    <row r="11" spans="1:78">
      <c r="A11" s="2" t="s">
        <v>8</v>
      </c>
      <c r="B11">
        <v>0.28034999999999999</v>
      </c>
      <c r="C11">
        <v>1.9674</v>
      </c>
      <c r="D11">
        <v>6.3997000000000002</v>
      </c>
      <c r="E11">
        <v>-6.4527000000000001</v>
      </c>
      <c r="F11">
        <v>-0.50400999999999996</v>
      </c>
      <c r="G11">
        <v>-1.8614999999999999</v>
      </c>
      <c r="H11">
        <v>5.8404999999999999E-2</v>
      </c>
      <c r="I11">
        <v>0.14921000000000001</v>
      </c>
      <c r="J11">
        <v>-0.82215000000000005</v>
      </c>
      <c r="K11">
        <v>0.12009</v>
      </c>
      <c r="L11">
        <v>-0.16003999999999999</v>
      </c>
      <c r="M11">
        <v>0.60682000000000003</v>
      </c>
      <c r="N11">
        <v>-8.8210999999999998E-2</v>
      </c>
      <c r="O11">
        <v>-0.21887999999999999</v>
      </c>
      <c r="P11">
        <v>0.26974999999999999</v>
      </c>
      <c r="Q11">
        <v>1.9466000000000001</v>
      </c>
      <c r="R11">
        <v>4.3696999999999999</v>
      </c>
      <c r="S11">
        <v>-3.0011000000000001</v>
      </c>
      <c r="T11">
        <v>-0.59258</v>
      </c>
      <c r="U11">
        <v>-8.5782999999999998E-2</v>
      </c>
      <c r="V11">
        <v>-2.3772000000000002</v>
      </c>
      <c r="W11">
        <v>0.31692999999999999</v>
      </c>
      <c r="X11">
        <v>0.26317000000000002</v>
      </c>
      <c r="Y11">
        <v>3.5815E-3</v>
      </c>
      <c r="Z11">
        <v>0.66657</v>
      </c>
      <c r="AA11">
        <v>-0.34667999999999999</v>
      </c>
      <c r="AB11">
        <v>-0.18940000000000001</v>
      </c>
      <c r="AC11">
        <v>3.1251000000000002</v>
      </c>
      <c r="AD11">
        <v>-1.018</v>
      </c>
      <c r="AE11">
        <v>-0.85782000000000003</v>
      </c>
      <c r="AF11">
        <v>-1.1357999999999999</v>
      </c>
      <c r="AG11">
        <v>6.7367999999999997E-2</v>
      </c>
      <c r="AH11">
        <v>0.21234</v>
      </c>
      <c r="AI11">
        <v>-0.21482999999999999</v>
      </c>
      <c r="AJ11">
        <v>-0.30158000000000001</v>
      </c>
      <c r="AK11">
        <v>-0.25679999999999997</v>
      </c>
      <c r="AL11">
        <v>-1.8223E-2</v>
      </c>
      <c r="AM11">
        <v>-0.20191000000000001</v>
      </c>
      <c r="AN11">
        <v>-0.13386000000000001</v>
      </c>
      <c r="AO11">
        <v>5.3731000000000001E-2</v>
      </c>
      <c r="AP11">
        <v>-0.61034999999999995</v>
      </c>
      <c r="AQ11">
        <v>6.7862999999999998</v>
      </c>
      <c r="AR11">
        <v>-3.7755000000000001</v>
      </c>
      <c r="AS11">
        <v>-2.8748999999999998</v>
      </c>
      <c r="AT11">
        <v>1.8347</v>
      </c>
      <c r="AU11">
        <v>-1.2771999999999999</v>
      </c>
      <c r="AV11">
        <v>5.4151999999999999E-2</v>
      </c>
      <c r="AW11">
        <v>0.51080999999999999</v>
      </c>
      <c r="AX11">
        <v>-0.17849999999999999</v>
      </c>
      <c r="AY11">
        <v>0.42886000000000002</v>
      </c>
      <c r="AZ11">
        <v>-0.32566000000000001</v>
      </c>
      <c r="BA11">
        <v>6.8266999999999994E-2</v>
      </c>
      <c r="BB11">
        <v>9.5047999999999995</v>
      </c>
      <c r="BC11">
        <v>3.4651000000000001</v>
      </c>
      <c r="BD11">
        <v>-12.464</v>
      </c>
      <c r="BE11">
        <v>0.74795</v>
      </c>
      <c r="BF11">
        <v>-1.3436999999999999</v>
      </c>
      <c r="BG11">
        <v>-6.9151000000000004E-2</v>
      </c>
      <c r="BH11">
        <v>0.21984000000000001</v>
      </c>
      <c r="BI11">
        <v>-0.48551</v>
      </c>
      <c r="BJ11">
        <v>-1.5518000000000001E-2</v>
      </c>
      <c r="BK11">
        <v>-0.48070000000000002</v>
      </c>
      <c r="BL11">
        <v>9.3373999999999999E-2</v>
      </c>
      <c r="BM11">
        <v>-3.9301999999999997E-2</v>
      </c>
      <c r="BN11">
        <v>-0.47720000000000001</v>
      </c>
      <c r="BO11">
        <v>0.19153000000000001</v>
      </c>
      <c r="BP11">
        <v>-2.6078000000000001</v>
      </c>
      <c r="BQ11">
        <v>7.6470000000000002</v>
      </c>
      <c r="BR11">
        <v>-9.9193999999999996</v>
      </c>
      <c r="BS11">
        <v>7.1611000000000002</v>
      </c>
      <c r="BT11">
        <v>1.8009999999999999</v>
      </c>
      <c r="BU11">
        <v>4.3882000000000003</v>
      </c>
      <c r="BV11">
        <v>-4.9678000000000004</v>
      </c>
      <c r="BW11">
        <v>0.42476999999999998</v>
      </c>
      <c r="BX11">
        <v>-0.11463</v>
      </c>
      <c r="BY11">
        <v>9.7743999999999998E-2</v>
      </c>
      <c r="BZ11">
        <v>-2.3512999999999999E-2</v>
      </c>
    </row>
    <row r="12" spans="1:78">
      <c r="A12" s="2" t="s">
        <v>9</v>
      </c>
      <c r="B12">
        <v>2.0796000000000001</v>
      </c>
      <c r="C12">
        <v>-0.82411999999999996</v>
      </c>
      <c r="D12">
        <v>4.9870000000000001</v>
      </c>
      <c r="E12">
        <v>-2.1778</v>
      </c>
      <c r="F12">
        <v>-2.5206</v>
      </c>
      <c r="G12">
        <v>1.0287999999999999</v>
      </c>
      <c r="H12">
        <v>-1.0402</v>
      </c>
      <c r="I12">
        <v>-0.53717999999999999</v>
      </c>
      <c r="J12">
        <v>-0.48064000000000001</v>
      </c>
      <c r="K12">
        <v>0.12009</v>
      </c>
      <c r="L12">
        <v>-3.0896999999999999E-3</v>
      </c>
      <c r="M12">
        <v>0</v>
      </c>
      <c r="N12">
        <v>0</v>
      </c>
      <c r="O12">
        <v>0</v>
      </c>
      <c r="P12">
        <v>0</v>
      </c>
      <c r="Q12">
        <v>2.3799000000000001</v>
      </c>
      <c r="R12">
        <v>3.3313999999999999</v>
      </c>
      <c r="S12">
        <v>-1.6520999999999999</v>
      </c>
      <c r="T12">
        <v>0.64412999999999998</v>
      </c>
      <c r="U12">
        <v>1.5361</v>
      </c>
      <c r="V12">
        <v>-2.7915000000000001</v>
      </c>
      <c r="W12">
        <v>0.42886000000000002</v>
      </c>
      <c r="X12">
        <v>0.12325</v>
      </c>
      <c r="Y12">
        <v>0.16053000000000001</v>
      </c>
      <c r="Z12">
        <v>-0.24579000000000001</v>
      </c>
      <c r="AA12">
        <v>2.3942000000000001</v>
      </c>
      <c r="AB12">
        <v>-0.70023999999999997</v>
      </c>
      <c r="AC12">
        <v>2.0516999999999999</v>
      </c>
      <c r="AD12">
        <v>-1.7362</v>
      </c>
      <c r="AE12">
        <v>0.24077999999999999</v>
      </c>
      <c r="AF12">
        <v>-0.84804000000000002</v>
      </c>
      <c r="AG12">
        <v>0.27007999999999999</v>
      </c>
      <c r="AH12">
        <v>-0.38490999999999997</v>
      </c>
      <c r="AI12">
        <v>-0.47610999999999998</v>
      </c>
      <c r="AJ12">
        <v>-5.3266000000000001E-2</v>
      </c>
      <c r="AK12">
        <v>-0.12590000000000001</v>
      </c>
      <c r="AL12">
        <v>0</v>
      </c>
      <c r="AM12">
        <v>0</v>
      </c>
      <c r="AN12">
        <v>0</v>
      </c>
      <c r="AO12">
        <v>0</v>
      </c>
      <c r="AP12">
        <v>1.3728</v>
      </c>
      <c r="AQ12">
        <v>1.8779999999999999</v>
      </c>
      <c r="AR12">
        <v>0.77815000000000001</v>
      </c>
      <c r="AS12">
        <v>-1.4767999999999999</v>
      </c>
      <c r="AT12">
        <v>-0.59513000000000005</v>
      </c>
      <c r="AU12">
        <v>-3.8552</v>
      </c>
      <c r="AV12">
        <v>2.7883</v>
      </c>
      <c r="AW12">
        <v>0.37567</v>
      </c>
      <c r="AX12">
        <v>0.12248000000000001</v>
      </c>
      <c r="AY12">
        <v>-3.4453999999999999E-2</v>
      </c>
      <c r="AZ12">
        <v>-0.2903</v>
      </c>
      <c r="BA12">
        <v>6.8015000000000006E-2</v>
      </c>
      <c r="BB12">
        <v>0.75021000000000004</v>
      </c>
      <c r="BC12">
        <v>4.1616</v>
      </c>
      <c r="BD12">
        <v>-6.1852999999999998</v>
      </c>
      <c r="BE12">
        <v>0.74792999999999998</v>
      </c>
      <c r="BF12">
        <v>0.43614000000000003</v>
      </c>
      <c r="BG12">
        <v>-0.41554000000000002</v>
      </c>
      <c r="BH12">
        <v>-0.14299000000000001</v>
      </c>
      <c r="BI12">
        <v>-0.21346000000000001</v>
      </c>
      <c r="BJ12">
        <v>-1.5523E-2</v>
      </c>
      <c r="BK12">
        <v>-0.2248</v>
      </c>
      <c r="BL12">
        <v>0</v>
      </c>
      <c r="BM12">
        <v>0</v>
      </c>
      <c r="BN12">
        <v>0</v>
      </c>
      <c r="BO12">
        <v>0</v>
      </c>
      <c r="BP12">
        <v>-0.39506000000000002</v>
      </c>
      <c r="BQ12">
        <v>4.7961999999999998</v>
      </c>
      <c r="BR12">
        <v>1.2533000000000001</v>
      </c>
      <c r="BS12">
        <v>-2.5712000000000002</v>
      </c>
      <c r="BT12">
        <v>2.6373000000000002</v>
      </c>
      <c r="BU12">
        <v>0.85707999999999995</v>
      </c>
      <c r="BV12">
        <v>-2.9138999999999999</v>
      </c>
      <c r="BW12">
        <v>1.3778999999999999</v>
      </c>
      <c r="BX12">
        <v>2.4336E-2</v>
      </c>
      <c r="BY12">
        <v>-2.2848E-2</v>
      </c>
      <c r="BZ12">
        <v>-8.1176999999999999E-2</v>
      </c>
    </row>
    <row r="13" spans="1:78">
      <c r="A13" s="3" t="s">
        <v>15</v>
      </c>
      <c r="B13">
        <v>-1.6580999999999999</v>
      </c>
      <c r="C13">
        <v>-0.44685000000000002</v>
      </c>
      <c r="D13">
        <v>5.1048</v>
      </c>
      <c r="E13">
        <v>-1.5442</v>
      </c>
      <c r="F13">
        <v>-1.9911000000000001</v>
      </c>
      <c r="G13">
        <v>-1.5739000000000001</v>
      </c>
      <c r="H13">
        <v>0.69655</v>
      </c>
      <c r="I13">
        <v>-0.18032999999999999</v>
      </c>
      <c r="J13">
        <v>-0.40462999999999999</v>
      </c>
      <c r="K13">
        <v>0.13894999999999999</v>
      </c>
      <c r="L13">
        <v>-0.18936</v>
      </c>
      <c r="M13">
        <v>0.17505000000000001</v>
      </c>
      <c r="N13">
        <v>5.5247999999999998E-2</v>
      </c>
      <c r="O13">
        <v>-7.4388999999999997E-2</v>
      </c>
      <c r="P13">
        <v>4.5548999999999997E-3</v>
      </c>
      <c r="Q13">
        <v>4.1010999999999999E-2</v>
      </c>
      <c r="R13">
        <v>-0.28117999999999999</v>
      </c>
      <c r="S13">
        <v>-1.6476999999999999</v>
      </c>
      <c r="T13">
        <v>4.0267999999999998E-2</v>
      </c>
      <c r="U13">
        <v>1.1387</v>
      </c>
      <c r="V13">
        <v>-2.2364999999999999</v>
      </c>
      <c r="W13">
        <v>0.63882000000000005</v>
      </c>
      <c r="X13">
        <v>0.40067999999999998</v>
      </c>
      <c r="Y13">
        <v>7.5453999999999993E-2</v>
      </c>
      <c r="Z13">
        <v>-2.6780999999999999E-2</v>
      </c>
      <c r="AA13">
        <v>-2.4662000000000002</v>
      </c>
      <c r="AB13">
        <v>2.2084999999999999</v>
      </c>
      <c r="AC13">
        <v>3.5901000000000001</v>
      </c>
      <c r="AD13">
        <v>-0.99045000000000005</v>
      </c>
      <c r="AE13">
        <v>-3.0550999999999999</v>
      </c>
      <c r="AF13">
        <v>2.2654000000000001</v>
      </c>
      <c r="AG13">
        <v>-0.69732000000000005</v>
      </c>
      <c r="AH13">
        <v>0.23705000000000001</v>
      </c>
      <c r="AI13">
        <v>-0.13847999999999999</v>
      </c>
      <c r="AJ13">
        <v>-0.46625</v>
      </c>
      <c r="AK13">
        <v>-0.28284999999999999</v>
      </c>
      <c r="AL13">
        <v>-3.7654E-2</v>
      </c>
      <c r="AM13">
        <v>-6.3140000000000002E-2</v>
      </c>
      <c r="AN13">
        <v>-7.8116999999999998E-4</v>
      </c>
      <c r="AO13">
        <v>5.7074E-2</v>
      </c>
      <c r="AP13">
        <v>-1.2698</v>
      </c>
      <c r="AQ13">
        <v>1.1024000000000001E-2</v>
      </c>
      <c r="AR13">
        <v>-2.1486000000000001</v>
      </c>
      <c r="AS13">
        <v>2.2978000000000001</v>
      </c>
      <c r="AT13">
        <v>2.7353000000000001</v>
      </c>
      <c r="AU13">
        <v>-8.2582000000000004</v>
      </c>
      <c r="AV13">
        <v>2.5541999999999998</v>
      </c>
      <c r="AW13">
        <v>1.3025</v>
      </c>
      <c r="AX13">
        <v>-0.58379999999999999</v>
      </c>
      <c r="AY13">
        <v>-9.7834000000000004E-2</v>
      </c>
      <c r="AZ13">
        <v>0.69718999999999998</v>
      </c>
      <c r="BA13">
        <v>-3.7549000000000001</v>
      </c>
      <c r="BB13">
        <v>0.99139999999999995</v>
      </c>
      <c r="BC13">
        <v>5.9886999999999997</v>
      </c>
      <c r="BD13">
        <v>-4.6813000000000002</v>
      </c>
      <c r="BE13">
        <v>-2.8622999999999998</v>
      </c>
      <c r="BF13">
        <v>3.3073999999999999</v>
      </c>
      <c r="BG13">
        <v>-0.33428000000000002</v>
      </c>
      <c r="BH13">
        <v>-1.1605000000000001E-2</v>
      </c>
      <c r="BI13">
        <v>0.67096</v>
      </c>
      <c r="BJ13">
        <v>-0.60909000000000002</v>
      </c>
      <c r="BK13">
        <v>8.8931000000000004E-4</v>
      </c>
      <c r="BL13">
        <v>0.16566</v>
      </c>
      <c r="BM13">
        <v>-0.10305</v>
      </c>
      <c r="BN13">
        <v>-2.9548999999999999E-2</v>
      </c>
      <c r="BO13">
        <v>0.16020000000000001</v>
      </c>
      <c r="BP13">
        <v>-0.31768000000000002</v>
      </c>
      <c r="BQ13">
        <v>-0.26325999999999999</v>
      </c>
      <c r="BR13">
        <v>-4.5206</v>
      </c>
      <c r="BS13">
        <v>0.86585999999999996</v>
      </c>
      <c r="BT13">
        <v>4.2300000000000004</v>
      </c>
      <c r="BU13">
        <v>-3.0409000000000002</v>
      </c>
      <c r="BV13">
        <v>-0.17407</v>
      </c>
      <c r="BW13">
        <v>0.17724000000000001</v>
      </c>
      <c r="BX13">
        <v>1.0618000000000001</v>
      </c>
      <c r="BY13">
        <v>0.10425</v>
      </c>
      <c r="BZ13">
        <v>1.4281E-2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4"/>
  <sheetViews>
    <sheetView workbookViewId="0">
      <selection activeCell="A2" sqref="A2"/>
    </sheetView>
  </sheetViews>
  <sheetFormatPr baseColWidth="10" defaultRowHeight="16"/>
  <cols>
    <col min="1" max="1" width="41.1640625" bestFit="1" customWidth="1"/>
  </cols>
  <sheetData>
    <row r="1" spans="1:14" ht="18">
      <c r="A1" s="3" t="s">
        <v>21</v>
      </c>
    </row>
    <row r="2" spans="1:14">
      <c r="B2">
        <v>2.25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>
      <c r="B3">
        <v>0</v>
      </c>
      <c r="C3">
        <v>2.25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B4">
        <v>0</v>
      </c>
      <c r="C4">
        <v>0</v>
      </c>
      <c r="D4">
        <v>2.25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B5">
        <v>0</v>
      </c>
      <c r="C5">
        <v>0</v>
      </c>
      <c r="D5">
        <v>0</v>
      </c>
      <c r="E5">
        <v>2.25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B6">
        <v>0</v>
      </c>
      <c r="C6">
        <v>0</v>
      </c>
      <c r="D6">
        <v>0</v>
      </c>
      <c r="E6">
        <v>0</v>
      </c>
      <c r="F6">
        <v>2.25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>
      <c r="B7">
        <v>0</v>
      </c>
      <c r="C7">
        <v>0</v>
      </c>
      <c r="D7">
        <v>0</v>
      </c>
      <c r="E7">
        <v>0</v>
      </c>
      <c r="F7">
        <v>0</v>
      </c>
      <c r="G7">
        <v>2.25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2.25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2.25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2.25</v>
      </c>
      <c r="K10">
        <v>0</v>
      </c>
      <c r="L10">
        <v>0</v>
      </c>
      <c r="M10">
        <v>0</v>
      </c>
      <c r="N10">
        <v>0</v>
      </c>
    </row>
    <row r="11" spans="1:14"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2.25</v>
      </c>
      <c r="L11">
        <v>0</v>
      </c>
      <c r="M11">
        <v>0</v>
      </c>
      <c r="N11">
        <v>0</v>
      </c>
    </row>
    <row r="12" spans="1:14"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2.25</v>
      </c>
      <c r="M12">
        <v>0</v>
      </c>
      <c r="N12">
        <v>0</v>
      </c>
    </row>
    <row r="13" spans="1:14"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9</v>
      </c>
      <c r="N13">
        <v>0</v>
      </c>
    </row>
    <row r="14" spans="1:14"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0.25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workbookViewId="0"/>
  </sheetViews>
  <sheetFormatPr baseColWidth="10" defaultRowHeight="16"/>
  <cols>
    <col min="1" max="1" width="38.5" bestFit="1" customWidth="1"/>
    <col min="8" max="8" width="10.83203125" style="18"/>
    <col min="10" max="10" width="10.83203125" style="18"/>
    <col min="13" max="13" width="10.83203125" style="19"/>
    <col min="14" max="14" width="13.5" bestFit="1" customWidth="1"/>
  </cols>
  <sheetData>
    <row r="1" spans="1:14">
      <c r="A1" s="3" t="s">
        <v>22</v>
      </c>
    </row>
    <row r="2" spans="1:14">
      <c r="A2" s="3" t="s">
        <v>16</v>
      </c>
      <c r="B2" s="25" t="s">
        <v>12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0" t="s">
        <v>13</v>
      </c>
      <c r="N2" s="3" t="s">
        <v>14</v>
      </c>
    </row>
    <row r="3" spans="1:14">
      <c r="A3" s="2" t="s">
        <v>2</v>
      </c>
      <c r="B3" s="4">
        <v>-0.20516000000000001</v>
      </c>
      <c r="C3" s="4">
        <v>9.8397999999999999E-2</v>
      </c>
      <c r="D3" s="4">
        <v>0.16739000000000001</v>
      </c>
      <c r="E3" s="4">
        <v>-0.16461000000000001</v>
      </c>
      <c r="F3" s="4">
        <v>-0.14341000000000001</v>
      </c>
      <c r="G3" s="4">
        <v>1.9880999999999999E-2</v>
      </c>
      <c r="H3" s="17">
        <v>-0.51534999999999997</v>
      </c>
      <c r="I3" s="4">
        <v>-0.39162000000000002</v>
      </c>
      <c r="J3" s="17">
        <v>0.34634999999999999</v>
      </c>
      <c r="K3" s="4">
        <v>8.8853000000000005E-3</v>
      </c>
      <c r="L3" s="4">
        <v>-0.26894000000000001</v>
      </c>
      <c r="M3" s="21">
        <v>0.36807000000000001</v>
      </c>
      <c r="N3" s="4">
        <v>-3.2926000000000002</v>
      </c>
    </row>
    <row r="4" spans="1:14">
      <c r="A4" s="3" t="s">
        <v>4</v>
      </c>
      <c r="B4" s="4">
        <v>6.2122999999999998E-2</v>
      </c>
      <c r="C4" s="4">
        <v>-0.10489</v>
      </c>
      <c r="D4" s="4">
        <v>-4.3011000000000001E-2</v>
      </c>
      <c r="E4" s="4">
        <v>-0.15465999999999999</v>
      </c>
      <c r="F4" s="4">
        <v>-0.18720000000000001</v>
      </c>
      <c r="G4" s="4">
        <v>2.7030999999999999E-2</v>
      </c>
      <c r="H4" s="17">
        <v>-0.45918999999999999</v>
      </c>
      <c r="I4" s="4">
        <v>-0.41388000000000003</v>
      </c>
      <c r="J4" s="17">
        <v>0.30130000000000001</v>
      </c>
      <c r="K4" s="4">
        <v>2.2081E-2</v>
      </c>
      <c r="L4" s="4">
        <v>-0.19656999999999999</v>
      </c>
      <c r="M4" s="21">
        <v>0.31023000000000001</v>
      </c>
      <c r="N4" s="4">
        <v>-3.0354000000000001</v>
      </c>
    </row>
    <row r="5" spans="1:14">
      <c r="A5" s="3" t="s">
        <v>7</v>
      </c>
      <c r="B5" s="4">
        <v>0.14373</v>
      </c>
      <c r="C5" s="4">
        <v>-0.19203000000000001</v>
      </c>
      <c r="D5" s="4">
        <v>-0.10162</v>
      </c>
      <c r="E5" s="4">
        <v>-0.13971</v>
      </c>
      <c r="F5" s="4">
        <v>-0.16536999999999999</v>
      </c>
      <c r="G5" s="4">
        <v>1.3651E-2</v>
      </c>
      <c r="H5" s="17">
        <v>-0.50414000000000003</v>
      </c>
      <c r="I5" s="4">
        <v>-0.77239999999999998</v>
      </c>
      <c r="J5" s="17">
        <v>0.29257</v>
      </c>
      <c r="K5" s="4">
        <v>-5.9589999999999999E-3</v>
      </c>
      <c r="L5" s="4">
        <v>-0.20644999999999999</v>
      </c>
      <c r="M5" s="21">
        <v>0.35610000000000003</v>
      </c>
      <c r="N5" s="4">
        <v>-2.0909</v>
      </c>
    </row>
    <row r="6" spans="1:14">
      <c r="A6" s="3" t="s">
        <v>15</v>
      </c>
      <c r="B6" s="4">
        <v>0.22403000000000001</v>
      </c>
      <c r="C6" s="4">
        <v>0.13813</v>
      </c>
      <c r="D6" s="4">
        <v>4.5883000000000002E-4</v>
      </c>
      <c r="E6" s="4">
        <v>-0.83125000000000004</v>
      </c>
      <c r="F6" s="4">
        <v>-0.2238</v>
      </c>
      <c r="G6" s="4">
        <v>0.22026999999999999</v>
      </c>
      <c r="H6" s="17">
        <v>-0.20529</v>
      </c>
      <c r="I6" s="4">
        <v>-1.0097</v>
      </c>
      <c r="J6" s="17">
        <v>0.66639000000000004</v>
      </c>
      <c r="K6" s="4">
        <v>-3.8986E-2</v>
      </c>
      <c r="L6" s="4">
        <v>-0.40032000000000001</v>
      </c>
      <c r="M6" s="21">
        <v>0.54005999999999998</v>
      </c>
      <c r="N6" s="4">
        <v>-1.9395</v>
      </c>
    </row>
    <row r="7" spans="1:14">
      <c r="A7" s="2" t="s">
        <v>1</v>
      </c>
      <c r="B7" s="4">
        <v>-0.18015999999999999</v>
      </c>
      <c r="C7" s="4">
        <v>-5.1261000000000001E-2</v>
      </c>
      <c r="D7" s="5">
        <v>-5.0300000000000003E-5</v>
      </c>
      <c r="E7" s="4">
        <v>-5.4212000000000003E-2</v>
      </c>
      <c r="F7" s="4">
        <v>-0.70857999999999999</v>
      </c>
      <c r="G7" s="4">
        <v>1.6198000000000001E-2</v>
      </c>
      <c r="H7" s="17">
        <v>-0.50756000000000001</v>
      </c>
      <c r="I7" s="4">
        <v>0.55362999999999996</v>
      </c>
      <c r="J7" s="17">
        <v>0.15756999999999999</v>
      </c>
      <c r="K7" s="4">
        <v>0.22438</v>
      </c>
      <c r="L7" s="4">
        <v>0.10635</v>
      </c>
      <c r="M7" s="21">
        <v>0.70898000000000005</v>
      </c>
      <c r="N7" s="4">
        <v>-1.3491</v>
      </c>
    </row>
    <row r="8" spans="1:14">
      <c r="A8" s="3" t="s">
        <v>3</v>
      </c>
      <c r="B8" s="4">
        <v>-0.11158999999999999</v>
      </c>
      <c r="C8" s="4">
        <v>-3.721E-2</v>
      </c>
      <c r="D8" s="4">
        <v>-4.2590999999999997E-2</v>
      </c>
      <c r="E8" s="4">
        <v>4.1043999999999997E-2</v>
      </c>
      <c r="F8" s="4">
        <v>0.26134000000000002</v>
      </c>
      <c r="G8" s="4">
        <v>-0.42265999999999998</v>
      </c>
      <c r="H8" s="17">
        <v>-0.18536</v>
      </c>
      <c r="I8" s="4">
        <v>-0.43231000000000003</v>
      </c>
      <c r="J8" s="17">
        <v>0.16470000000000001</v>
      </c>
      <c r="K8" s="4">
        <v>-6.1038000000000002E-2</v>
      </c>
      <c r="L8" s="4">
        <v>-0.26461000000000001</v>
      </c>
      <c r="M8" s="21">
        <v>0.47064</v>
      </c>
      <c r="N8" s="4">
        <v>-1.1017999999999999</v>
      </c>
    </row>
    <row r="9" spans="1:14" s="18" customFormat="1">
      <c r="A9" s="16" t="s">
        <v>5</v>
      </c>
      <c r="B9" s="17">
        <v>-0.12669</v>
      </c>
      <c r="C9" s="17">
        <v>-0.18576000000000001</v>
      </c>
      <c r="D9" s="17">
        <v>-0.12222</v>
      </c>
      <c r="E9" s="17">
        <v>0.38090000000000002</v>
      </c>
      <c r="F9" s="17">
        <v>0.40029999999999999</v>
      </c>
      <c r="G9" s="17">
        <v>-0.16078000000000001</v>
      </c>
      <c r="H9" s="17">
        <v>-1.2123999999999999</v>
      </c>
      <c r="I9" s="17">
        <v>1.3896999999999999</v>
      </c>
      <c r="J9" s="24">
        <v>-0.37922</v>
      </c>
      <c r="K9" s="17">
        <v>0.19189000000000001</v>
      </c>
      <c r="L9" s="17">
        <v>-9.6351999999999993E-2</v>
      </c>
      <c r="M9" s="21">
        <v>0.22969999999999999</v>
      </c>
      <c r="N9" s="17">
        <v>-0.92445999999999995</v>
      </c>
    </row>
    <row r="10" spans="1:14">
      <c r="A10" s="2" t="s">
        <v>8</v>
      </c>
      <c r="B10" s="4">
        <v>-7.1257000000000001E-2</v>
      </c>
      <c r="C10" s="4">
        <v>6.0448000000000001E-4</v>
      </c>
      <c r="D10" s="4">
        <v>8.0354999999999996E-2</v>
      </c>
      <c r="E10" s="4">
        <v>-0.45479999999999998</v>
      </c>
      <c r="F10" s="4">
        <v>-0.50348999999999999</v>
      </c>
      <c r="G10" s="4">
        <v>0.16899</v>
      </c>
      <c r="H10" s="17">
        <v>-0.56222000000000005</v>
      </c>
      <c r="I10" s="4">
        <v>-4.3507999999999996</v>
      </c>
      <c r="J10" s="17">
        <v>0.44314999999999999</v>
      </c>
      <c r="K10" s="4">
        <v>-0.22341</v>
      </c>
      <c r="L10" s="4">
        <v>-0.2074</v>
      </c>
      <c r="M10" s="21">
        <v>0.83004999999999995</v>
      </c>
      <c r="N10" s="4">
        <v>-0.79400999999999999</v>
      </c>
    </row>
    <row r="11" spans="1:14" s="18" customFormat="1">
      <c r="A11" s="16" t="s">
        <v>6</v>
      </c>
      <c r="B11" s="17">
        <v>-3.7540999999999998E-2</v>
      </c>
      <c r="C11" s="17">
        <v>-3.3333000000000002E-2</v>
      </c>
      <c r="D11" s="17">
        <v>-4.9911999999999998E-2</v>
      </c>
      <c r="E11" s="17">
        <v>-9.0424000000000004E-2</v>
      </c>
      <c r="F11" s="17">
        <v>-0.10211000000000001</v>
      </c>
      <c r="G11" s="17">
        <v>3.2289999999999999E-2</v>
      </c>
      <c r="H11" s="24">
        <v>-0.18179000000000001</v>
      </c>
      <c r="I11" s="17">
        <v>-0.30301</v>
      </c>
      <c r="J11" s="17">
        <v>-5.5765000000000002E-2</v>
      </c>
      <c r="K11" s="17">
        <v>1.436E-2</v>
      </c>
      <c r="L11" s="17">
        <v>-7.6696999999999998E-3</v>
      </c>
      <c r="M11" s="21">
        <v>0.39180999999999999</v>
      </c>
      <c r="N11" s="17">
        <v>-0.31272</v>
      </c>
    </row>
    <row r="12" spans="1:14">
      <c r="A12" s="2" t="s">
        <v>9</v>
      </c>
      <c r="B12" s="4">
        <v>-4.2250000000000003E-2</v>
      </c>
      <c r="C12" s="4">
        <v>-1.3105E-2</v>
      </c>
      <c r="D12" s="4">
        <v>2.3980000000000001E-2</v>
      </c>
      <c r="E12" s="4">
        <v>-0.11784</v>
      </c>
      <c r="F12" s="4">
        <v>-0.32893</v>
      </c>
      <c r="G12" s="4">
        <v>2.0747999999999999E-2</v>
      </c>
      <c r="H12" s="17">
        <v>5.4767000000000003E-2</v>
      </c>
      <c r="I12" s="4">
        <v>-2.0962999999999998</v>
      </c>
      <c r="J12" s="17">
        <v>0.11124000000000001</v>
      </c>
      <c r="K12" s="4">
        <v>-0.19213</v>
      </c>
      <c r="L12" s="4">
        <v>2.3816E-2</v>
      </c>
      <c r="M12" s="21">
        <v>0.29075000000000001</v>
      </c>
      <c r="N12" s="4">
        <v>1.0670999999999999</v>
      </c>
    </row>
    <row r="13" spans="1:14">
      <c r="A13" s="3" t="s">
        <v>0</v>
      </c>
      <c r="B13" s="4">
        <v>-0.37419999999999998</v>
      </c>
      <c r="C13" s="4">
        <v>0.27843000000000001</v>
      </c>
      <c r="D13" s="4">
        <v>0.24887000000000001</v>
      </c>
      <c r="E13" s="4">
        <v>-0.16829</v>
      </c>
      <c r="F13" s="4">
        <v>8.3989999999999995E-2</v>
      </c>
      <c r="G13" s="4">
        <v>3.3690999999999999E-2</v>
      </c>
      <c r="H13" s="17">
        <v>-0.23241999999999999</v>
      </c>
      <c r="I13" s="4">
        <v>-0.39512999999999998</v>
      </c>
      <c r="J13" s="17">
        <v>0.31453999999999999</v>
      </c>
      <c r="K13" s="4">
        <v>-3.8764E-2</v>
      </c>
      <c r="L13" s="4">
        <v>-0.3841</v>
      </c>
      <c r="M13" s="21">
        <v>0.32367000000000001</v>
      </c>
      <c r="N13" s="4">
        <v>3.7008999999999999</v>
      </c>
    </row>
    <row r="14" spans="1:14" ht="233">
      <c r="B14" s="6" t="s">
        <v>2</v>
      </c>
      <c r="C14" s="7" t="s">
        <v>4</v>
      </c>
      <c r="D14" s="7" t="s">
        <v>7</v>
      </c>
      <c r="E14" s="7" t="s">
        <v>15</v>
      </c>
      <c r="F14" s="6" t="s">
        <v>1</v>
      </c>
      <c r="G14" s="7" t="s">
        <v>3</v>
      </c>
      <c r="H14" s="23" t="s">
        <v>5</v>
      </c>
      <c r="I14" s="6" t="s">
        <v>8</v>
      </c>
      <c r="J14" s="23" t="s">
        <v>6</v>
      </c>
      <c r="K14" s="6" t="s">
        <v>9</v>
      </c>
      <c r="L14" s="7" t="s">
        <v>0</v>
      </c>
    </row>
    <row r="20" spans="1:8" s="18" customFormat="1">
      <c r="A20" s="16" t="s">
        <v>5</v>
      </c>
      <c r="B20" s="22">
        <v>-1.2123999999999999</v>
      </c>
      <c r="C20" s="17">
        <v>1.3896999999999999</v>
      </c>
      <c r="D20" s="17">
        <v>-0.37922</v>
      </c>
      <c r="E20" s="17">
        <v>0.19189000000000001</v>
      </c>
      <c r="F20" s="17">
        <v>-9.6351999999999993E-2</v>
      </c>
      <c r="G20" s="21">
        <v>0.22969999999999999</v>
      </c>
      <c r="H20" s="17">
        <v>-0.92445999999999995</v>
      </c>
    </row>
    <row r="21" spans="1:8" s="18" customFormat="1">
      <c r="A21" s="16" t="s">
        <v>6</v>
      </c>
      <c r="B21" s="17">
        <v>-0.18179000000000001</v>
      </c>
      <c r="C21" s="17">
        <v>-0.30301</v>
      </c>
      <c r="D21" s="22">
        <v>-5.5765000000000002E-2</v>
      </c>
      <c r="E21" s="17">
        <v>1.436E-2</v>
      </c>
      <c r="F21" s="17">
        <v>-7.6696999999999998E-3</v>
      </c>
      <c r="G21" s="21">
        <v>0.39180999999999999</v>
      </c>
      <c r="H21" s="17">
        <v>-0.31272</v>
      </c>
    </row>
  </sheetData>
  <sortState ref="A3:U13">
    <sortCondition ref="N1"/>
  </sortState>
  <mergeCells count="1">
    <mergeCell ref="B2:L2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Y</vt:lpstr>
      <vt:lpstr>F</vt:lpstr>
      <vt:lpstr>D_lambda</vt:lpstr>
      <vt:lpstr>MmuE</vt:lpstr>
    </vt:vector>
  </TitlesOfParts>
  <Company>MSKCC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Stein</dc:creator>
  <cp:lastModifiedBy>ISA Ahmad</cp:lastModifiedBy>
  <dcterms:created xsi:type="dcterms:W3CDTF">2013-10-15T19:59:39Z</dcterms:created>
  <dcterms:modified xsi:type="dcterms:W3CDTF">2020-08-17T21:32:56Z</dcterms:modified>
</cp:coreProperties>
</file>